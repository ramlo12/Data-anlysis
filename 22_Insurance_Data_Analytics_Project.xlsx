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id\Downloads\github_project\github_project\Dataset\"/>
    </mc:Choice>
  </mc:AlternateContent>
  <xr:revisionPtr revIDLastSave="0" documentId="13_ncr:1_{9CAF4811-02FD-41E1-ACDD-A01C39924EF4}" xr6:coauthVersionLast="47" xr6:coauthVersionMax="47" xr10:uidLastSave="{00000000-0000-0000-0000-000000000000}"/>
  <bookViews>
    <workbookView xWindow="-110" yWindow="-110" windowWidth="19420" windowHeight="10300" tabRatio="500" firstSheet="3" activeTab="6" xr2:uid="{00000000-000D-0000-FFFF-FFFF00000000}"/>
  </bookViews>
  <sheets>
    <sheet name="Raw_Data" sheetId="1" r:id="rId1"/>
    <sheet name="Clean_Data" sheetId="2" r:id="rId2"/>
    <sheet name="Cleaning_Log" sheetId="3" r:id="rId3"/>
    <sheet name="Analysis" sheetId="4" r:id="rId4"/>
    <sheet name="PivotTables" sheetId="5" r:id="rId5"/>
    <sheet name="Dashboard_Claims" sheetId="6" r:id="rId6"/>
    <sheet name="Dashboard_Profile" sheetId="7" r:id="rId7"/>
    <sheet name="Findings" sheetId="8" r:id="rId8"/>
  </sheets>
  <definedNames>
    <definedName name="_xlnm.Print_Area" localSheetId="3">Analysis!$A$1:$F$72</definedName>
    <definedName name="_xlnm.Print_Area" localSheetId="1">Clean_Data!$A$1:$Q$281</definedName>
    <definedName name="_xlnm.Print_Area" localSheetId="2">Cleaning_Log!$A$1:$D$20</definedName>
    <definedName name="_xlnm.Print_Area" localSheetId="5">Dashboard_Claims!$A$1:$U$45</definedName>
    <definedName name="_xlnm.Print_Area" localSheetId="6">Dashboard_Profile!$A$1:$U$45</definedName>
    <definedName name="_xlnm.Print_Area" localSheetId="7">Findings!$A$1:$B$25</definedName>
    <definedName name="_xlnm.Print_Area" localSheetId="4">PivotTables!$A$1:$H$64</definedName>
    <definedName name="_xlnm.Print_Area" localSheetId="0">Raw_Data!$A$1:$G$304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30" i="5" l="1"/>
  <c r="E30" i="5"/>
  <c r="D30" i="5"/>
  <c r="C30" i="5"/>
  <c r="B30" i="5"/>
  <c r="G30" i="5" s="1"/>
  <c r="F29" i="5"/>
  <c r="E29" i="5"/>
  <c r="D29" i="5"/>
  <c r="C29" i="5"/>
  <c r="B29" i="5"/>
  <c r="G29" i="5" s="1"/>
  <c r="F28" i="5"/>
  <c r="E28" i="5"/>
  <c r="D28" i="5"/>
  <c r="C28" i="5"/>
  <c r="B28" i="5"/>
  <c r="G28" i="5" s="1"/>
  <c r="F27" i="5"/>
  <c r="E27" i="5"/>
  <c r="D27" i="5"/>
  <c r="C27" i="5"/>
  <c r="B27" i="5"/>
  <c r="G27" i="5" s="1"/>
  <c r="F26" i="5"/>
  <c r="E26" i="5"/>
  <c r="D26" i="5"/>
  <c r="C26" i="5"/>
  <c r="B26" i="5"/>
  <c r="G26" i="5" s="1"/>
  <c r="D21" i="5"/>
  <c r="B21" i="5"/>
  <c r="C21" i="5" s="1"/>
  <c r="D20" i="5"/>
  <c r="B20" i="5"/>
  <c r="C20" i="5" s="1"/>
  <c r="D19" i="5"/>
  <c r="C19" i="5"/>
  <c r="B19" i="5"/>
  <c r="D18" i="5"/>
  <c r="B18" i="5"/>
  <c r="C18" i="5" s="1"/>
  <c r="D17" i="5"/>
  <c r="B17" i="5"/>
  <c r="C17" i="5" s="1"/>
  <c r="F12" i="5"/>
  <c r="E12" i="5"/>
  <c r="D12" i="5"/>
  <c r="C12" i="5"/>
  <c r="B12" i="5"/>
  <c r="F11" i="5"/>
  <c r="E11" i="5"/>
  <c r="D11" i="5"/>
  <c r="C11" i="5"/>
  <c r="B11" i="5"/>
  <c r="F10" i="5"/>
  <c r="E10" i="5"/>
  <c r="D10" i="5"/>
  <c r="C10" i="5"/>
  <c r="B10" i="5"/>
  <c r="F9" i="5"/>
  <c r="E9" i="5"/>
  <c r="D9" i="5"/>
  <c r="C9" i="5"/>
  <c r="B9" i="5"/>
  <c r="F8" i="5"/>
  <c r="E8" i="5"/>
  <c r="D8" i="5"/>
  <c r="C8" i="5"/>
  <c r="B8" i="5"/>
  <c r="D72" i="4"/>
  <c r="B72" i="4" s="1"/>
  <c r="D71" i="4"/>
  <c r="C71" i="4" s="1"/>
  <c r="D70" i="4"/>
  <c r="C70" i="4" s="1"/>
  <c r="D69" i="4"/>
  <c r="C69" i="4" s="1"/>
  <c r="B69" i="4"/>
  <c r="D68" i="4"/>
  <c r="C68" i="4" s="1"/>
  <c r="B68" i="4"/>
  <c r="D67" i="4"/>
  <c r="C67" i="4" s="1"/>
  <c r="D66" i="4"/>
  <c r="C66" i="4"/>
  <c r="B66" i="4"/>
  <c r="D65" i="4"/>
  <c r="C65" i="4"/>
  <c r="B65" i="4"/>
  <c r="D64" i="4"/>
  <c r="B64" i="4" s="1"/>
  <c r="D63" i="4"/>
  <c r="C63" i="4" s="1"/>
  <c r="C49" i="4"/>
  <c r="C48" i="4"/>
  <c r="C47" i="4"/>
  <c r="C46" i="4"/>
  <c r="B39" i="4"/>
  <c r="B38" i="4"/>
  <c r="B37" i="4"/>
  <c r="B36" i="4"/>
  <c r="B35" i="4"/>
  <c r="B34" i="4"/>
  <c r="E19" i="4"/>
  <c r="D19" i="4"/>
  <c r="C19" i="4"/>
  <c r="B19" i="4"/>
  <c r="E18" i="4"/>
  <c r="D18" i="4"/>
  <c r="C18" i="4"/>
  <c r="B18" i="4"/>
  <c r="E17" i="4"/>
  <c r="D17" i="4"/>
  <c r="C17" i="4"/>
  <c r="B17" i="4"/>
  <c r="E16" i="4"/>
  <c r="D16" i="4"/>
  <c r="C16" i="4"/>
  <c r="C20" i="4" s="1"/>
  <c r="B16" i="4"/>
  <c r="E15" i="4"/>
  <c r="D15" i="4"/>
  <c r="C15" i="4"/>
  <c r="B15" i="4"/>
  <c r="B20" i="4" s="1"/>
  <c r="C10" i="4"/>
  <c r="B10" i="4"/>
  <c r="C9" i="4"/>
  <c r="B9" i="4"/>
  <c r="C8" i="4"/>
  <c r="B8" i="4"/>
  <c r="C7" i="4"/>
  <c r="B7" i="4"/>
  <c r="C6" i="4"/>
  <c r="B6" i="4"/>
  <c r="Q281" i="2"/>
  <c r="P281" i="2"/>
  <c r="O281" i="2"/>
  <c r="N281" i="2"/>
  <c r="M281" i="2"/>
  <c r="L281" i="2"/>
  <c r="G8" i="6" s="1"/>
  <c r="K281" i="2"/>
  <c r="J281" i="2"/>
  <c r="Q280" i="2"/>
  <c r="P280" i="2"/>
  <c r="O280" i="2"/>
  <c r="N280" i="2"/>
  <c r="M280" i="2"/>
  <c r="L280" i="2"/>
  <c r="K280" i="2"/>
  <c r="J280" i="2"/>
  <c r="Q279" i="2"/>
  <c r="P279" i="2"/>
  <c r="O279" i="2"/>
  <c r="N279" i="2"/>
  <c r="M279" i="2"/>
  <c r="L279" i="2"/>
  <c r="K279" i="2"/>
  <c r="J279" i="2"/>
  <c r="Q278" i="2"/>
  <c r="P278" i="2"/>
  <c r="O278" i="2"/>
  <c r="N278" i="2"/>
  <c r="M278" i="2"/>
  <c r="L278" i="2"/>
  <c r="K278" i="2"/>
  <c r="J278" i="2"/>
  <c r="Q277" i="2"/>
  <c r="P277" i="2"/>
  <c r="O277" i="2"/>
  <c r="N277" i="2"/>
  <c r="M277" i="2"/>
  <c r="L277" i="2"/>
  <c r="K277" i="2"/>
  <c r="J277" i="2"/>
  <c r="Q276" i="2"/>
  <c r="P276" i="2"/>
  <c r="O276" i="2"/>
  <c r="N276" i="2"/>
  <c r="M276" i="2"/>
  <c r="L276" i="2"/>
  <c r="K276" i="2"/>
  <c r="J276" i="2"/>
  <c r="Q275" i="2"/>
  <c r="P275" i="2"/>
  <c r="O275" i="2"/>
  <c r="N275" i="2"/>
  <c r="M275" i="2"/>
  <c r="L275" i="2"/>
  <c r="K275" i="2"/>
  <c r="J275" i="2"/>
  <c r="Q274" i="2"/>
  <c r="P274" i="2"/>
  <c r="O274" i="2"/>
  <c r="N274" i="2"/>
  <c r="M274" i="2"/>
  <c r="L274" i="2"/>
  <c r="K274" i="2"/>
  <c r="J274" i="2"/>
  <c r="Q273" i="2"/>
  <c r="P273" i="2"/>
  <c r="O273" i="2"/>
  <c r="N273" i="2"/>
  <c r="M273" i="2"/>
  <c r="L273" i="2"/>
  <c r="K273" i="2"/>
  <c r="J273" i="2"/>
  <c r="Q272" i="2"/>
  <c r="P272" i="2"/>
  <c r="O272" i="2"/>
  <c r="N272" i="2"/>
  <c r="M272" i="2"/>
  <c r="L272" i="2"/>
  <c r="K272" i="2"/>
  <c r="J272" i="2"/>
  <c r="Q271" i="2"/>
  <c r="P271" i="2"/>
  <c r="O271" i="2"/>
  <c r="N271" i="2"/>
  <c r="M271" i="2"/>
  <c r="L271" i="2"/>
  <c r="K271" i="2"/>
  <c r="J271" i="2"/>
  <c r="Q270" i="2"/>
  <c r="P270" i="2"/>
  <c r="O270" i="2"/>
  <c r="N270" i="2"/>
  <c r="M270" i="2"/>
  <c r="L270" i="2"/>
  <c r="K270" i="2"/>
  <c r="J270" i="2"/>
  <c r="Q269" i="2"/>
  <c r="P269" i="2"/>
  <c r="O269" i="2"/>
  <c r="N269" i="2"/>
  <c r="M269" i="2"/>
  <c r="L269" i="2"/>
  <c r="K269" i="2"/>
  <c r="J269" i="2"/>
  <c r="Q268" i="2"/>
  <c r="P268" i="2"/>
  <c r="O268" i="2"/>
  <c r="N268" i="2"/>
  <c r="M268" i="2"/>
  <c r="L268" i="2"/>
  <c r="K268" i="2"/>
  <c r="J268" i="2"/>
  <c r="Q267" i="2"/>
  <c r="P267" i="2"/>
  <c r="O267" i="2"/>
  <c r="N267" i="2"/>
  <c r="M267" i="2"/>
  <c r="L267" i="2"/>
  <c r="K267" i="2"/>
  <c r="J267" i="2"/>
  <c r="Q266" i="2"/>
  <c r="P266" i="2"/>
  <c r="O266" i="2"/>
  <c r="N266" i="2"/>
  <c r="M266" i="2"/>
  <c r="L266" i="2"/>
  <c r="K266" i="2"/>
  <c r="J266" i="2"/>
  <c r="Q265" i="2"/>
  <c r="P265" i="2"/>
  <c r="O265" i="2"/>
  <c r="N265" i="2"/>
  <c r="M265" i="2"/>
  <c r="L265" i="2"/>
  <c r="K265" i="2"/>
  <c r="J265" i="2"/>
  <c r="Q264" i="2"/>
  <c r="P264" i="2"/>
  <c r="O264" i="2"/>
  <c r="N264" i="2"/>
  <c r="M264" i="2"/>
  <c r="L264" i="2"/>
  <c r="K264" i="2"/>
  <c r="J264" i="2"/>
  <c r="Q263" i="2"/>
  <c r="P263" i="2"/>
  <c r="O263" i="2"/>
  <c r="N263" i="2"/>
  <c r="M263" i="2"/>
  <c r="L263" i="2"/>
  <c r="K263" i="2"/>
  <c r="J263" i="2"/>
  <c r="Q262" i="2"/>
  <c r="P262" i="2"/>
  <c r="O262" i="2"/>
  <c r="N262" i="2"/>
  <c r="M262" i="2"/>
  <c r="L262" i="2"/>
  <c r="K262" i="2"/>
  <c r="J262" i="2"/>
  <c r="Q261" i="2"/>
  <c r="P261" i="2"/>
  <c r="O261" i="2"/>
  <c r="N261" i="2"/>
  <c r="M261" i="2"/>
  <c r="L261" i="2"/>
  <c r="K261" i="2"/>
  <c r="J261" i="2"/>
  <c r="Q260" i="2"/>
  <c r="P260" i="2"/>
  <c r="O260" i="2"/>
  <c r="N260" i="2"/>
  <c r="M260" i="2"/>
  <c r="L260" i="2"/>
  <c r="K260" i="2"/>
  <c r="J260" i="2"/>
  <c r="Q259" i="2"/>
  <c r="P259" i="2"/>
  <c r="O259" i="2"/>
  <c r="N259" i="2"/>
  <c r="M259" i="2"/>
  <c r="L259" i="2"/>
  <c r="K259" i="2"/>
  <c r="J259" i="2"/>
  <c r="Q258" i="2"/>
  <c r="P258" i="2"/>
  <c r="O258" i="2"/>
  <c r="N258" i="2"/>
  <c r="M258" i="2"/>
  <c r="L258" i="2"/>
  <c r="K258" i="2"/>
  <c r="J258" i="2"/>
  <c r="Q257" i="2"/>
  <c r="P257" i="2"/>
  <c r="O257" i="2"/>
  <c r="N257" i="2"/>
  <c r="M257" i="2"/>
  <c r="L257" i="2"/>
  <c r="K257" i="2"/>
  <c r="J257" i="2"/>
  <c r="Q256" i="2"/>
  <c r="P256" i="2"/>
  <c r="O256" i="2"/>
  <c r="N256" i="2"/>
  <c r="M256" i="2"/>
  <c r="L256" i="2"/>
  <c r="K256" i="2"/>
  <c r="J256" i="2"/>
  <c r="Q255" i="2"/>
  <c r="P255" i="2"/>
  <c r="O255" i="2"/>
  <c r="N255" i="2"/>
  <c r="M255" i="2"/>
  <c r="L255" i="2"/>
  <c r="K255" i="2"/>
  <c r="J255" i="2"/>
  <c r="Q254" i="2"/>
  <c r="P254" i="2"/>
  <c r="O254" i="2"/>
  <c r="N254" i="2"/>
  <c r="M254" i="2"/>
  <c r="L254" i="2"/>
  <c r="K254" i="2"/>
  <c r="J254" i="2"/>
  <c r="Q253" i="2"/>
  <c r="P253" i="2"/>
  <c r="O253" i="2"/>
  <c r="N253" i="2"/>
  <c r="M253" i="2"/>
  <c r="L253" i="2"/>
  <c r="K253" i="2"/>
  <c r="J253" i="2"/>
  <c r="Q252" i="2"/>
  <c r="P252" i="2"/>
  <c r="O252" i="2"/>
  <c r="N252" i="2"/>
  <c r="M252" i="2"/>
  <c r="L252" i="2"/>
  <c r="K252" i="2"/>
  <c r="J252" i="2"/>
  <c r="Q251" i="2"/>
  <c r="P251" i="2"/>
  <c r="O251" i="2"/>
  <c r="N251" i="2"/>
  <c r="M251" i="2"/>
  <c r="L251" i="2"/>
  <c r="K251" i="2"/>
  <c r="J251" i="2"/>
  <c r="Q250" i="2"/>
  <c r="P250" i="2"/>
  <c r="O250" i="2"/>
  <c r="N250" i="2"/>
  <c r="M250" i="2"/>
  <c r="L250" i="2"/>
  <c r="K250" i="2"/>
  <c r="J250" i="2"/>
  <c r="Q249" i="2"/>
  <c r="P249" i="2"/>
  <c r="O249" i="2"/>
  <c r="N249" i="2"/>
  <c r="M249" i="2"/>
  <c r="L249" i="2"/>
  <c r="K249" i="2"/>
  <c r="J249" i="2"/>
  <c r="Q248" i="2"/>
  <c r="P248" i="2"/>
  <c r="O248" i="2"/>
  <c r="N248" i="2"/>
  <c r="M248" i="2"/>
  <c r="L248" i="2"/>
  <c r="K248" i="2"/>
  <c r="J248" i="2"/>
  <c r="Q247" i="2"/>
  <c r="P247" i="2"/>
  <c r="O247" i="2"/>
  <c r="N247" i="2"/>
  <c r="M247" i="2"/>
  <c r="L247" i="2"/>
  <c r="K247" i="2"/>
  <c r="J247" i="2"/>
  <c r="Q246" i="2"/>
  <c r="P246" i="2"/>
  <c r="O246" i="2"/>
  <c r="N246" i="2"/>
  <c r="M246" i="2"/>
  <c r="L246" i="2"/>
  <c r="K246" i="2"/>
  <c r="J246" i="2"/>
  <c r="Q245" i="2"/>
  <c r="P245" i="2"/>
  <c r="O245" i="2"/>
  <c r="N245" i="2"/>
  <c r="M245" i="2"/>
  <c r="L245" i="2"/>
  <c r="K245" i="2"/>
  <c r="J245" i="2"/>
  <c r="Q244" i="2"/>
  <c r="P244" i="2"/>
  <c r="O244" i="2"/>
  <c r="N244" i="2"/>
  <c r="M244" i="2"/>
  <c r="L244" i="2"/>
  <c r="K244" i="2"/>
  <c r="J244" i="2"/>
  <c r="Q243" i="2"/>
  <c r="P243" i="2"/>
  <c r="O243" i="2"/>
  <c r="N243" i="2"/>
  <c r="M243" i="2"/>
  <c r="L243" i="2"/>
  <c r="K243" i="2"/>
  <c r="J243" i="2"/>
  <c r="Q242" i="2"/>
  <c r="P242" i="2"/>
  <c r="O242" i="2"/>
  <c r="N242" i="2"/>
  <c r="M242" i="2"/>
  <c r="L242" i="2"/>
  <c r="K242" i="2"/>
  <c r="J242" i="2"/>
  <c r="Q241" i="2"/>
  <c r="P241" i="2"/>
  <c r="O241" i="2"/>
  <c r="N241" i="2"/>
  <c r="M241" i="2"/>
  <c r="L241" i="2"/>
  <c r="K241" i="2"/>
  <c r="J241" i="2"/>
  <c r="Q240" i="2"/>
  <c r="P240" i="2"/>
  <c r="O240" i="2"/>
  <c r="N240" i="2"/>
  <c r="M240" i="2"/>
  <c r="L240" i="2"/>
  <c r="K240" i="2"/>
  <c r="J240" i="2"/>
  <c r="Q239" i="2"/>
  <c r="P239" i="2"/>
  <c r="O239" i="2"/>
  <c r="N239" i="2"/>
  <c r="M239" i="2"/>
  <c r="L239" i="2"/>
  <c r="K239" i="2"/>
  <c r="J239" i="2"/>
  <c r="Q238" i="2"/>
  <c r="P238" i="2"/>
  <c r="O238" i="2"/>
  <c r="N238" i="2"/>
  <c r="M238" i="2"/>
  <c r="L238" i="2"/>
  <c r="K238" i="2"/>
  <c r="J238" i="2"/>
  <c r="Q237" i="2"/>
  <c r="P237" i="2"/>
  <c r="O237" i="2"/>
  <c r="N237" i="2"/>
  <c r="M237" i="2"/>
  <c r="L237" i="2"/>
  <c r="K237" i="2"/>
  <c r="J237" i="2"/>
  <c r="Q236" i="2"/>
  <c r="P236" i="2"/>
  <c r="O236" i="2"/>
  <c r="N236" i="2"/>
  <c r="M236" i="2"/>
  <c r="L236" i="2"/>
  <c r="K236" i="2"/>
  <c r="J236" i="2"/>
  <c r="Q235" i="2"/>
  <c r="P235" i="2"/>
  <c r="O235" i="2"/>
  <c r="N235" i="2"/>
  <c r="M235" i="2"/>
  <c r="L235" i="2"/>
  <c r="K235" i="2"/>
  <c r="J235" i="2"/>
  <c r="Q234" i="2"/>
  <c r="P234" i="2"/>
  <c r="O234" i="2"/>
  <c r="N234" i="2"/>
  <c r="M234" i="2"/>
  <c r="L234" i="2"/>
  <c r="K234" i="2"/>
  <c r="J234" i="2"/>
  <c r="Q233" i="2"/>
  <c r="P233" i="2"/>
  <c r="O233" i="2"/>
  <c r="N233" i="2"/>
  <c r="M233" i="2"/>
  <c r="L233" i="2"/>
  <c r="K233" i="2"/>
  <c r="J233" i="2"/>
  <c r="Q232" i="2"/>
  <c r="P232" i="2"/>
  <c r="O232" i="2"/>
  <c r="N232" i="2"/>
  <c r="M232" i="2"/>
  <c r="L232" i="2"/>
  <c r="K232" i="2"/>
  <c r="J232" i="2"/>
  <c r="Q231" i="2"/>
  <c r="P231" i="2"/>
  <c r="O231" i="2"/>
  <c r="N231" i="2"/>
  <c r="M231" i="2"/>
  <c r="L231" i="2"/>
  <c r="K231" i="2"/>
  <c r="J231" i="2"/>
  <c r="Q230" i="2"/>
  <c r="P230" i="2"/>
  <c r="O230" i="2"/>
  <c r="N230" i="2"/>
  <c r="M230" i="2"/>
  <c r="L230" i="2"/>
  <c r="K230" i="2"/>
  <c r="J230" i="2"/>
  <c r="Q229" i="2"/>
  <c r="P229" i="2"/>
  <c r="O229" i="2"/>
  <c r="N229" i="2"/>
  <c r="M229" i="2"/>
  <c r="L229" i="2"/>
  <c r="K229" i="2"/>
  <c r="J229" i="2"/>
  <c r="Q228" i="2"/>
  <c r="P228" i="2"/>
  <c r="O228" i="2"/>
  <c r="N228" i="2"/>
  <c r="M228" i="2"/>
  <c r="L228" i="2"/>
  <c r="K228" i="2"/>
  <c r="J228" i="2"/>
  <c r="Q227" i="2"/>
  <c r="P227" i="2"/>
  <c r="O227" i="2"/>
  <c r="N227" i="2"/>
  <c r="M227" i="2"/>
  <c r="L227" i="2"/>
  <c r="K227" i="2"/>
  <c r="J227" i="2"/>
  <c r="Q226" i="2"/>
  <c r="P226" i="2"/>
  <c r="O226" i="2"/>
  <c r="N226" i="2"/>
  <c r="M226" i="2"/>
  <c r="L226" i="2"/>
  <c r="K226" i="2"/>
  <c r="J226" i="2"/>
  <c r="Q225" i="2"/>
  <c r="P225" i="2"/>
  <c r="O225" i="2"/>
  <c r="N225" i="2"/>
  <c r="M225" i="2"/>
  <c r="L225" i="2"/>
  <c r="K225" i="2"/>
  <c r="J225" i="2"/>
  <c r="Q224" i="2"/>
  <c r="P224" i="2"/>
  <c r="O224" i="2"/>
  <c r="N224" i="2"/>
  <c r="M224" i="2"/>
  <c r="L224" i="2"/>
  <c r="K224" i="2"/>
  <c r="J224" i="2"/>
  <c r="Q223" i="2"/>
  <c r="P223" i="2"/>
  <c r="O223" i="2"/>
  <c r="N223" i="2"/>
  <c r="M223" i="2"/>
  <c r="L223" i="2"/>
  <c r="K223" i="2"/>
  <c r="J223" i="2"/>
  <c r="Q222" i="2"/>
  <c r="P222" i="2"/>
  <c r="O222" i="2"/>
  <c r="N222" i="2"/>
  <c r="M222" i="2"/>
  <c r="L222" i="2"/>
  <c r="K222" i="2"/>
  <c r="J222" i="2"/>
  <c r="Q221" i="2"/>
  <c r="P221" i="2"/>
  <c r="O221" i="2"/>
  <c r="N221" i="2"/>
  <c r="M221" i="2"/>
  <c r="L221" i="2"/>
  <c r="K221" i="2"/>
  <c r="J221" i="2"/>
  <c r="Q220" i="2"/>
  <c r="P220" i="2"/>
  <c r="O220" i="2"/>
  <c r="N220" i="2"/>
  <c r="M220" i="2"/>
  <c r="L220" i="2"/>
  <c r="K220" i="2"/>
  <c r="J220" i="2"/>
  <c r="Q219" i="2"/>
  <c r="P219" i="2"/>
  <c r="O219" i="2"/>
  <c r="N219" i="2"/>
  <c r="M219" i="2"/>
  <c r="L219" i="2"/>
  <c r="K219" i="2"/>
  <c r="J219" i="2"/>
  <c r="Q218" i="2"/>
  <c r="P218" i="2"/>
  <c r="O218" i="2"/>
  <c r="N218" i="2"/>
  <c r="M218" i="2"/>
  <c r="L218" i="2"/>
  <c r="K218" i="2"/>
  <c r="J218" i="2"/>
  <c r="Q217" i="2"/>
  <c r="P217" i="2"/>
  <c r="O217" i="2"/>
  <c r="N217" i="2"/>
  <c r="M217" i="2"/>
  <c r="L217" i="2"/>
  <c r="K217" i="2"/>
  <c r="J217" i="2"/>
  <c r="Q216" i="2"/>
  <c r="P216" i="2"/>
  <c r="O216" i="2"/>
  <c r="N216" i="2"/>
  <c r="M216" i="2"/>
  <c r="L216" i="2"/>
  <c r="K216" i="2"/>
  <c r="J216" i="2"/>
  <c r="Q215" i="2"/>
  <c r="P215" i="2"/>
  <c r="O215" i="2"/>
  <c r="N215" i="2"/>
  <c r="M215" i="2"/>
  <c r="L215" i="2"/>
  <c r="K215" i="2"/>
  <c r="J215" i="2"/>
  <c r="Q214" i="2"/>
  <c r="P214" i="2"/>
  <c r="O214" i="2"/>
  <c r="N214" i="2"/>
  <c r="M214" i="2"/>
  <c r="L214" i="2"/>
  <c r="K214" i="2"/>
  <c r="J214" i="2"/>
  <c r="Q213" i="2"/>
  <c r="P213" i="2"/>
  <c r="O213" i="2"/>
  <c r="N213" i="2"/>
  <c r="M213" i="2"/>
  <c r="L213" i="2"/>
  <c r="K213" i="2"/>
  <c r="J213" i="2"/>
  <c r="Q212" i="2"/>
  <c r="P212" i="2"/>
  <c r="O212" i="2"/>
  <c r="N212" i="2"/>
  <c r="M212" i="2"/>
  <c r="L212" i="2"/>
  <c r="K212" i="2"/>
  <c r="J212" i="2"/>
  <c r="Q211" i="2"/>
  <c r="P211" i="2"/>
  <c r="O211" i="2"/>
  <c r="N211" i="2"/>
  <c r="M211" i="2"/>
  <c r="L211" i="2"/>
  <c r="K211" i="2"/>
  <c r="J211" i="2"/>
  <c r="Q210" i="2"/>
  <c r="P210" i="2"/>
  <c r="O210" i="2"/>
  <c r="N210" i="2"/>
  <c r="M210" i="2"/>
  <c r="L210" i="2"/>
  <c r="K210" i="2"/>
  <c r="J210" i="2"/>
  <c r="Q209" i="2"/>
  <c r="P209" i="2"/>
  <c r="O209" i="2"/>
  <c r="N209" i="2"/>
  <c r="M209" i="2"/>
  <c r="L209" i="2"/>
  <c r="K209" i="2"/>
  <c r="J209" i="2"/>
  <c r="Q208" i="2"/>
  <c r="P208" i="2"/>
  <c r="O208" i="2"/>
  <c r="N208" i="2"/>
  <c r="M208" i="2"/>
  <c r="L208" i="2"/>
  <c r="K208" i="2"/>
  <c r="J208" i="2"/>
  <c r="Q207" i="2"/>
  <c r="P207" i="2"/>
  <c r="O207" i="2"/>
  <c r="N207" i="2"/>
  <c r="M207" i="2"/>
  <c r="L207" i="2"/>
  <c r="K207" i="2"/>
  <c r="J207" i="2"/>
  <c r="Q206" i="2"/>
  <c r="P206" i="2"/>
  <c r="O206" i="2"/>
  <c r="N206" i="2"/>
  <c r="M206" i="2"/>
  <c r="L206" i="2"/>
  <c r="K206" i="2"/>
  <c r="J206" i="2"/>
  <c r="Q205" i="2"/>
  <c r="P205" i="2"/>
  <c r="O205" i="2"/>
  <c r="N205" i="2"/>
  <c r="M205" i="2"/>
  <c r="L205" i="2"/>
  <c r="K205" i="2"/>
  <c r="J205" i="2"/>
  <c r="Q204" i="2"/>
  <c r="P204" i="2"/>
  <c r="O204" i="2"/>
  <c r="N204" i="2"/>
  <c r="M204" i="2"/>
  <c r="L204" i="2"/>
  <c r="K204" i="2"/>
  <c r="J204" i="2"/>
  <c r="Q203" i="2"/>
  <c r="P203" i="2"/>
  <c r="O203" i="2"/>
  <c r="N203" i="2"/>
  <c r="M203" i="2"/>
  <c r="L203" i="2"/>
  <c r="K203" i="2"/>
  <c r="J203" i="2"/>
  <c r="Q202" i="2"/>
  <c r="P202" i="2"/>
  <c r="O202" i="2"/>
  <c r="N202" i="2"/>
  <c r="M202" i="2"/>
  <c r="L202" i="2"/>
  <c r="K202" i="2"/>
  <c r="J202" i="2"/>
  <c r="Q201" i="2"/>
  <c r="P201" i="2"/>
  <c r="O201" i="2"/>
  <c r="N201" i="2"/>
  <c r="M201" i="2"/>
  <c r="L201" i="2"/>
  <c r="K201" i="2"/>
  <c r="J201" i="2"/>
  <c r="Q200" i="2"/>
  <c r="P200" i="2"/>
  <c r="O200" i="2"/>
  <c r="N200" i="2"/>
  <c r="M200" i="2"/>
  <c r="L200" i="2"/>
  <c r="K200" i="2"/>
  <c r="J200" i="2"/>
  <c r="Q199" i="2"/>
  <c r="P199" i="2"/>
  <c r="O199" i="2"/>
  <c r="N199" i="2"/>
  <c r="M199" i="2"/>
  <c r="L199" i="2"/>
  <c r="K199" i="2"/>
  <c r="J199" i="2"/>
  <c r="Q198" i="2"/>
  <c r="P198" i="2"/>
  <c r="O198" i="2"/>
  <c r="N198" i="2"/>
  <c r="M198" i="2"/>
  <c r="L198" i="2"/>
  <c r="K198" i="2"/>
  <c r="J198" i="2"/>
  <c r="Q197" i="2"/>
  <c r="P197" i="2"/>
  <c r="O197" i="2"/>
  <c r="N197" i="2"/>
  <c r="M197" i="2"/>
  <c r="L197" i="2"/>
  <c r="K197" i="2"/>
  <c r="J197" i="2"/>
  <c r="Q196" i="2"/>
  <c r="P196" i="2"/>
  <c r="O196" i="2"/>
  <c r="N196" i="2"/>
  <c r="M196" i="2"/>
  <c r="L196" i="2"/>
  <c r="K196" i="2"/>
  <c r="J196" i="2"/>
  <c r="Q195" i="2"/>
  <c r="P195" i="2"/>
  <c r="O195" i="2"/>
  <c r="N195" i="2"/>
  <c r="M195" i="2"/>
  <c r="L195" i="2"/>
  <c r="K195" i="2"/>
  <c r="J195" i="2"/>
  <c r="Q194" i="2"/>
  <c r="P194" i="2"/>
  <c r="O194" i="2"/>
  <c r="N194" i="2"/>
  <c r="M194" i="2"/>
  <c r="L194" i="2"/>
  <c r="K194" i="2"/>
  <c r="J194" i="2"/>
  <c r="Q193" i="2"/>
  <c r="P193" i="2"/>
  <c r="O193" i="2"/>
  <c r="N193" i="2"/>
  <c r="M193" i="2"/>
  <c r="L193" i="2"/>
  <c r="K193" i="2"/>
  <c r="J193" i="2"/>
  <c r="Q192" i="2"/>
  <c r="P192" i="2"/>
  <c r="O192" i="2"/>
  <c r="N192" i="2"/>
  <c r="M192" i="2"/>
  <c r="L192" i="2"/>
  <c r="K192" i="2"/>
  <c r="J192" i="2"/>
  <c r="Q191" i="2"/>
  <c r="P191" i="2"/>
  <c r="O191" i="2"/>
  <c r="N191" i="2"/>
  <c r="M191" i="2"/>
  <c r="L191" i="2"/>
  <c r="K191" i="2"/>
  <c r="J191" i="2"/>
  <c r="Q190" i="2"/>
  <c r="P190" i="2"/>
  <c r="O190" i="2"/>
  <c r="N190" i="2"/>
  <c r="M190" i="2"/>
  <c r="L190" i="2"/>
  <c r="K190" i="2"/>
  <c r="J190" i="2"/>
  <c r="Q189" i="2"/>
  <c r="P189" i="2"/>
  <c r="O189" i="2"/>
  <c r="N189" i="2"/>
  <c r="M189" i="2"/>
  <c r="L189" i="2"/>
  <c r="K189" i="2"/>
  <c r="J189" i="2"/>
  <c r="Q188" i="2"/>
  <c r="P188" i="2"/>
  <c r="O188" i="2"/>
  <c r="N188" i="2"/>
  <c r="M188" i="2"/>
  <c r="L188" i="2"/>
  <c r="K188" i="2"/>
  <c r="J188" i="2"/>
  <c r="Q187" i="2"/>
  <c r="P187" i="2"/>
  <c r="O187" i="2"/>
  <c r="N187" i="2"/>
  <c r="M187" i="2"/>
  <c r="L187" i="2"/>
  <c r="K187" i="2"/>
  <c r="J187" i="2"/>
  <c r="Q186" i="2"/>
  <c r="P186" i="2"/>
  <c r="O186" i="2"/>
  <c r="N186" i="2"/>
  <c r="M186" i="2"/>
  <c r="L186" i="2"/>
  <c r="K186" i="2"/>
  <c r="J186" i="2"/>
  <c r="Q185" i="2"/>
  <c r="P185" i="2"/>
  <c r="O185" i="2"/>
  <c r="N185" i="2"/>
  <c r="M185" i="2"/>
  <c r="L185" i="2"/>
  <c r="K185" i="2"/>
  <c r="J185" i="2"/>
  <c r="Q184" i="2"/>
  <c r="P184" i="2"/>
  <c r="O184" i="2"/>
  <c r="N184" i="2"/>
  <c r="M184" i="2"/>
  <c r="L184" i="2"/>
  <c r="K184" i="2"/>
  <c r="J184" i="2"/>
  <c r="Q183" i="2"/>
  <c r="P183" i="2"/>
  <c r="O183" i="2"/>
  <c r="N183" i="2"/>
  <c r="M183" i="2"/>
  <c r="L183" i="2"/>
  <c r="K183" i="2"/>
  <c r="J183" i="2"/>
  <c r="Q182" i="2"/>
  <c r="P182" i="2"/>
  <c r="O182" i="2"/>
  <c r="N182" i="2"/>
  <c r="M182" i="2"/>
  <c r="L182" i="2"/>
  <c r="K182" i="2"/>
  <c r="J182" i="2"/>
  <c r="Q181" i="2"/>
  <c r="P181" i="2"/>
  <c r="O181" i="2"/>
  <c r="N181" i="2"/>
  <c r="M181" i="2"/>
  <c r="L181" i="2"/>
  <c r="K181" i="2"/>
  <c r="J181" i="2"/>
  <c r="Q180" i="2"/>
  <c r="P180" i="2"/>
  <c r="O180" i="2"/>
  <c r="N180" i="2"/>
  <c r="M180" i="2"/>
  <c r="L180" i="2"/>
  <c r="K180" i="2"/>
  <c r="J180" i="2"/>
  <c r="Q179" i="2"/>
  <c r="P179" i="2"/>
  <c r="O179" i="2"/>
  <c r="N179" i="2"/>
  <c r="M179" i="2"/>
  <c r="L179" i="2"/>
  <c r="K179" i="2"/>
  <c r="J179" i="2"/>
  <c r="Q178" i="2"/>
  <c r="P178" i="2"/>
  <c r="O178" i="2"/>
  <c r="N178" i="2"/>
  <c r="M178" i="2"/>
  <c r="L178" i="2"/>
  <c r="K178" i="2"/>
  <c r="J178" i="2"/>
  <c r="Q177" i="2"/>
  <c r="P177" i="2"/>
  <c r="O177" i="2"/>
  <c r="N177" i="2"/>
  <c r="M177" i="2"/>
  <c r="L177" i="2"/>
  <c r="K177" i="2"/>
  <c r="J177" i="2"/>
  <c r="Q176" i="2"/>
  <c r="P176" i="2"/>
  <c r="O176" i="2"/>
  <c r="N176" i="2"/>
  <c r="M176" i="2"/>
  <c r="L176" i="2"/>
  <c r="K176" i="2"/>
  <c r="J176" i="2"/>
  <c r="Q175" i="2"/>
  <c r="P175" i="2"/>
  <c r="O175" i="2"/>
  <c r="N175" i="2"/>
  <c r="M175" i="2"/>
  <c r="L175" i="2"/>
  <c r="K175" i="2"/>
  <c r="J175" i="2"/>
  <c r="Q174" i="2"/>
  <c r="P174" i="2"/>
  <c r="O174" i="2"/>
  <c r="N174" i="2"/>
  <c r="M174" i="2"/>
  <c r="L174" i="2"/>
  <c r="K174" i="2"/>
  <c r="J174" i="2"/>
  <c r="Q173" i="2"/>
  <c r="P173" i="2"/>
  <c r="O173" i="2"/>
  <c r="N173" i="2"/>
  <c r="M173" i="2"/>
  <c r="L173" i="2"/>
  <c r="K173" i="2"/>
  <c r="J173" i="2"/>
  <c r="Q172" i="2"/>
  <c r="P172" i="2"/>
  <c r="O172" i="2"/>
  <c r="N172" i="2"/>
  <c r="M172" i="2"/>
  <c r="L172" i="2"/>
  <c r="K172" i="2"/>
  <c r="J172" i="2"/>
  <c r="Q171" i="2"/>
  <c r="P171" i="2"/>
  <c r="O171" i="2"/>
  <c r="N171" i="2"/>
  <c r="M171" i="2"/>
  <c r="L171" i="2"/>
  <c r="K171" i="2"/>
  <c r="J171" i="2"/>
  <c r="Q170" i="2"/>
  <c r="P170" i="2"/>
  <c r="O170" i="2"/>
  <c r="N170" i="2"/>
  <c r="M170" i="2"/>
  <c r="L170" i="2"/>
  <c r="K170" i="2"/>
  <c r="J170" i="2"/>
  <c r="Q169" i="2"/>
  <c r="P169" i="2"/>
  <c r="O169" i="2"/>
  <c r="N169" i="2"/>
  <c r="M169" i="2"/>
  <c r="L169" i="2"/>
  <c r="K169" i="2"/>
  <c r="J169" i="2"/>
  <c r="Q168" i="2"/>
  <c r="P168" i="2"/>
  <c r="O168" i="2"/>
  <c r="N168" i="2"/>
  <c r="M168" i="2"/>
  <c r="L168" i="2"/>
  <c r="K168" i="2"/>
  <c r="J168" i="2"/>
  <c r="Q167" i="2"/>
  <c r="P167" i="2"/>
  <c r="O167" i="2"/>
  <c r="N167" i="2"/>
  <c r="M167" i="2"/>
  <c r="L167" i="2"/>
  <c r="K167" i="2"/>
  <c r="J167" i="2"/>
  <c r="Q166" i="2"/>
  <c r="P166" i="2"/>
  <c r="O166" i="2"/>
  <c r="N166" i="2"/>
  <c r="M166" i="2"/>
  <c r="L166" i="2"/>
  <c r="K166" i="2"/>
  <c r="J166" i="2"/>
  <c r="Q165" i="2"/>
  <c r="P165" i="2"/>
  <c r="O165" i="2"/>
  <c r="N165" i="2"/>
  <c r="M165" i="2"/>
  <c r="L165" i="2"/>
  <c r="K165" i="2"/>
  <c r="J165" i="2"/>
  <c r="Q164" i="2"/>
  <c r="P164" i="2"/>
  <c r="O164" i="2"/>
  <c r="N164" i="2"/>
  <c r="M164" i="2"/>
  <c r="L164" i="2"/>
  <c r="K164" i="2"/>
  <c r="J164" i="2"/>
  <c r="Q163" i="2"/>
  <c r="P163" i="2"/>
  <c r="O163" i="2"/>
  <c r="N163" i="2"/>
  <c r="M163" i="2"/>
  <c r="L163" i="2"/>
  <c r="K163" i="2"/>
  <c r="J163" i="2"/>
  <c r="Q162" i="2"/>
  <c r="P162" i="2"/>
  <c r="O162" i="2"/>
  <c r="N162" i="2"/>
  <c r="M162" i="2"/>
  <c r="L162" i="2"/>
  <c r="K162" i="2"/>
  <c r="J162" i="2"/>
  <c r="Q161" i="2"/>
  <c r="P161" i="2"/>
  <c r="O161" i="2"/>
  <c r="N161" i="2"/>
  <c r="M161" i="2"/>
  <c r="L161" i="2"/>
  <c r="K161" i="2"/>
  <c r="J161" i="2"/>
  <c r="Q160" i="2"/>
  <c r="P160" i="2"/>
  <c r="O160" i="2"/>
  <c r="N160" i="2"/>
  <c r="M160" i="2"/>
  <c r="L160" i="2"/>
  <c r="K160" i="2"/>
  <c r="J160" i="2"/>
  <c r="Q159" i="2"/>
  <c r="P159" i="2"/>
  <c r="O159" i="2"/>
  <c r="N159" i="2"/>
  <c r="M159" i="2"/>
  <c r="L159" i="2"/>
  <c r="K159" i="2"/>
  <c r="J159" i="2"/>
  <c r="Q158" i="2"/>
  <c r="P158" i="2"/>
  <c r="O158" i="2"/>
  <c r="N158" i="2"/>
  <c r="M158" i="2"/>
  <c r="L158" i="2"/>
  <c r="K158" i="2"/>
  <c r="J158" i="2"/>
  <c r="Q157" i="2"/>
  <c r="P157" i="2"/>
  <c r="O157" i="2"/>
  <c r="N157" i="2"/>
  <c r="M157" i="2"/>
  <c r="L157" i="2"/>
  <c r="K157" i="2"/>
  <c r="J157" i="2"/>
  <c r="Q156" i="2"/>
  <c r="P156" i="2"/>
  <c r="O156" i="2"/>
  <c r="N156" i="2"/>
  <c r="M156" i="2"/>
  <c r="L156" i="2"/>
  <c r="K156" i="2"/>
  <c r="J156" i="2"/>
  <c r="Q155" i="2"/>
  <c r="P155" i="2"/>
  <c r="O155" i="2"/>
  <c r="N155" i="2"/>
  <c r="M155" i="2"/>
  <c r="L155" i="2"/>
  <c r="K155" i="2"/>
  <c r="J155" i="2"/>
  <c r="Q154" i="2"/>
  <c r="P154" i="2"/>
  <c r="O154" i="2"/>
  <c r="N154" i="2"/>
  <c r="M154" i="2"/>
  <c r="L154" i="2"/>
  <c r="K154" i="2"/>
  <c r="J154" i="2"/>
  <c r="Q153" i="2"/>
  <c r="P153" i="2"/>
  <c r="O153" i="2"/>
  <c r="N153" i="2"/>
  <c r="M153" i="2"/>
  <c r="L153" i="2"/>
  <c r="K153" i="2"/>
  <c r="J153" i="2"/>
  <c r="Q152" i="2"/>
  <c r="P152" i="2"/>
  <c r="O152" i="2"/>
  <c r="N152" i="2"/>
  <c r="M152" i="2"/>
  <c r="L152" i="2"/>
  <c r="K152" i="2"/>
  <c r="J152" i="2"/>
  <c r="Q151" i="2"/>
  <c r="P151" i="2"/>
  <c r="O151" i="2"/>
  <c r="N151" i="2"/>
  <c r="M151" i="2"/>
  <c r="L151" i="2"/>
  <c r="K151" i="2"/>
  <c r="J151" i="2"/>
  <c r="Q150" i="2"/>
  <c r="P150" i="2"/>
  <c r="O150" i="2"/>
  <c r="N150" i="2"/>
  <c r="M150" i="2"/>
  <c r="L150" i="2"/>
  <c r="K150" i="2"/>
  <c r="J150" i="2"/>
  <c r="Q149" i="2"/>
  <c r="P149" i="2"/>
  <c r="O149" i="2"/>
  <c r="N149" i="2"/>
  <c r="M149" i="2"/>
  <c r="L149" i="2"/>
  <c r="K149" i="2"/>
  <c r="J149" i="2"/>
  <c r="Q148" i="2"/>
  <c r="P148" i="2"/>
  <c r="O148" i="2"/>
  <c r="N148" i="2"/>
  <c r="M148" i="2"/>
  <c r="L148" i="2"/>
  <c r="K148" i="2"/>
  <c r="J148" i="2"/>
  <c r="Q147" i="2"/>
  <c r="P147" i="2"/>
  <c r="O147" i="2"/>
  <c r="N147" i="2"/>
  <c r="M147" i="2"/>
  <c r="L147" i="2"/>
  <c r="K147" i="2"/>
  <c r="J147" i="2"/>
  <c r="Q146" i="2"/>
  <c r="P146" i="2"/>
  <c r="O146" i="2"/>
  <c r="N146" i="2"/>
  <c r="M146" i="2"/>
  <c r="L146" i="2"/>
  <c r="K146" i="2"/>
  <c r="J146" i="2"/>
  <c r="Q145" i="2"/>
  <c r="P145" i="2"/>
  <c r="O145" i="2"/>
  <c r="N145" i="2"/>
  <c r="M145" i="2"/>
  <c r="L145" i="2"/>
  <c r="K145" i="2"/>
  <c r="J145" i="2"/>
  <c r="Q144" i="2"/>
  <c r="P144" i="2"/>
  <c r="O144" i="2"/>
  <c r="N144" i="2"/>
  <c r="M144" i="2"/>
  <c r="L144" i="2"/>
  <c r="K144" i="2"/>
  <c r="J144" i="2"/>
  <c r="Q143" i="2"/>
  <c r="P143" i="2"/>
  <c r="O143" i="2"/>
  <c r="N143" i="2"/>
  <c r="M143" i="2"/>
  <c r="L143" i="2"/>
  <c r="K143" i="2"/>
  <c r="J143" i="2"/>
  <c r="Q142" i="2"/>
  <c r="P142" i="2"/>
  <c r="O142" i="2"/>
  <c r="N142" i="2"/>
  <c r="M142" i="2"/>
  <c r="L142" i="2"/>
  <c r="K142" i="2"/>
  <c r="J142" i="2"/>
  <c r="Q141" i="2"/>
  <c r="P141" i="2"/>
  <c r="O141" i="2"/>
  <c r="N141" i="2"/>
  <c r="M141" i="2"/>
  <c r="L141" i="2"/>
  <c r="K141" i="2"/>
  <c r="J141" i="2"/>
  <c r="Q140" i="2"/>
  <c r="P140" i="2"/>
  <c r="O140" i="2"/>
  <c r="N140" i="2"/>
  <c r="M140" i="2"/>
  <c r="L140" i="2"/>
  <c r="K140" i="2"/>
  <c r="J140" i="2"/>
  <c r="Q139" i="2"/>
  <c r="P139" i="2"/>
  <c r="O139" i="2"/>
  <c r="N139" i="2"/>
  <c r="M139" i="2"/>
  <c r="L139" i="2"/>
  <c r="K139" i="2"/>
  <c r="J139" i="2"/>
  <c r="Q138" i="2"/>
  <c r="P138" i="2"/>
  <c r="O138" i="2"/>
  <c r="N138" i="2"/>
  <c r="M138" i="2"/>
  <c r="L138" i="2"/>
  <c r="K138" i="2"/>
  <c r="J138" i="2"/>
  <c r="Q137" i="2"/>
  <c r="P137" i="2"/>
  <c r="O137" i="2"/>
  <c r="N137" i="2"/>
  <c r="M137" i="2"/>
  <c r="L137" i="2"/>
  <c r="K137" i="2"/>
  <c r="J137" i="2"/>
  <c r="Q136" i="2"/>
  <c r="P136" i="2"/>
  <c r="O136" i="2"/>
  <c r="N136" i="2"/>
  <c r="M136" i="2"/>
  <c r="L136" i="2"/>
  <c r="K136" i="2"/>
  <c r="J136" i="2"/>
  <c r="Q135" i="2"/>
  <c r="P135" i="2"/>
  <c r="O135" i="2"/>
  <c r="N135" i="2"/>
  <c r="M135" i="2"/>
  <c r="L135" i="2"/>
  <c r="K135" i="2"/>
  <c r="J135" i="2"/>
  <c r="Q134" i="2"/>
  <c r="P134" i="2"/>
  <c r="O134" i="2"/>
  <c r="N134" i="2"/>
  <c r="M134" i="2"/>
  <c r="L134" i="2"/>
  <c r="K134" i="2"/>
  <c r="J134" i="2"/>
  <c r="Q133" i="2"/>
  <c r="P133" i="2"/>
  <c r="O133" i="2"/>
  <c r="N133" i="2"/>
  <c r="M133" i="2"/>
  <c r="L133" i="2"/>
  <c r="K133" i="2"/>
  <c r="J133" i="2"/>
  <c r="Q132" i="2"/>
  <c r="P132" i="2"/>
  <c r="O132" i="2"/>
  <c r="N132" i="2"/>
  <c r="M132" i="2"/>
  <c r="L132" i="2"/>
  <c r="K132" i="2"/>
  <c r="J132" i="2"/>
  <c r="Q131" i="2"/>
  <c r="P131" i="2"/>
  <c r="O131" i="2"/>
  <c r="N131" i="2"/>
  <c r="M131" i="2"/>
  <c r="L131" i="2"/>
  <c r="K131" i="2"/>
  <c r="J131" i="2"/>
  <c r="Q130" i="2"/>
  <c r="P130" i="2"/>
  <c r="O130" i="2"/>
  <c r="N130" i="2"/>
  <c r="M130" i="2"/>
  <c r="L130" i="2"/>
  <c r="K130" i="2"/>
  <c r="J130" i="2"/>
  <c r="Q129" i="2"/>
  <c r="P129" i="2"/>
  <c r="O129" i="2"/>
  <c r="N129" i="2"/>
  <c r="M129" i="2"/>
  <c r="L129" i="2"/>
  <c r="K129" i="2"/>
  <c r="J129" i="2"/>
  <c r="Q128" i="2"/>
  <c r="P128" i="2"/>
  <c r="O128" i="2"/>
  <c r="N128" i="2"/>
  <c r="M128" i="2"/>
  <c r="L128" i="2"/>
  <c r="K128" i="2"/>
  <c r="J128" i="2"/>
  <c r="Q127" i="2"/>
  <c r="P127" i="2"/>
  <c r="O127" i="2"/>
  <c r="N127" i="2"/>
  <c r="M127" i="2"/>
  <c r="L127" i="2"/>
  <c r="K127" i="2"/>
  <c r="J127" i="2"/>
  <c r="Q126" i="2"/>
  <c r="P126" i="2"/>
  <c r="O126" i="2"/>
  <c r="N126" i="2"/>
  <c r="M126" i="2"/>
  <c r="L126" i="2"/>
  <c r="K126" i="2"/>
  <c r="J126" i="2"/>
  <c r="Q125" i="2"/>
  <c r="P125" i="2"/>
  <c r="O125" i="2"/>
  <c r="N125" i="2"/>
  <c r="M125" i="2"/>
  <c r="L125" i="2"/>
  <c r="K125" i="2"/>
  <c r="J125" i="2"/>
  <c r="Q124" i="2"/>
  <c r="P124" i="2"/>
  <c r="O124" i="2"/>
  <c r="N124" i="2"/>
  <c r="M124" i="2"/>
  <c r="L124" i="2"/>
  <c r="K124" i="2"/>
  <c r="J124" i="2"/>
  <c r="Q123" i="2"/>
  <c r="P123" i="2"/>
  <c r="O123" i="2"/>
  <c r="N123" i="2"/>
  <c r="M123" i="2"/>
  <c r="L123" i="2"/>
  <c r="K123" i="2"/>
  <c r="J123" i="2"/>
  <c r="Q122" i="2"/>
  <c r="P122" i="2"/>
  <c r="O122" i="2"/>
  <c r="N122" i="2"/>
  <c r="M122" i="2"/>
  <c r="L122" i="2"/>
  <c r="K122" i="2"/>
  <c r="J122" i="2"/>
  <c r="Q121" i="2"/>
  <c r="P121" i="2"/>
  <c r="O121" i="2"/>
  <c r="N121" i="2"/>
  <c r="M121" i="2"/>
  <c r="L121" i="2"/>
  <c r="K121" i="2"/>
  <c r="J121" i="2"/>
  <c r="Q120" i="2"/>
  <c r="P120" i="2"/>
  <c r="O120" i="2"/>
  <c r="N120" i="2"/>
  <c r="M120" i="2"/>
  <c r="L120" i="2"/>
  <c r="K120" i="2"/>
  <c r="J120" i="2"/>
  <c r="Q119" i="2"/>
  <c r="P119" i="2"/>
  <c r="O119" i="2"/>
  <c r="N119" i="2"/>
  <c r="M119" i="2"/>
  <c r="L119" i="2"/>
  <c r="K119" i="2"/>
  <c r="J119" i="2"/>
  <c r="Q118" i="2"/>
  <c r="P118" i="2"/>
  <c r="O118" i="2"/>
  <c r="N118" i="2"/>
  <c r="M118" i="2"/>
  <c r="L118" i="2"/>
  <c r="K118" i="2"/>
  <c r="J118" i="2"/>
  <c r="Q117" i="2"/>
  <c r="P117" i="2"/>
  <c r="O117" i="2"/>
  <c r="N117" i="2"/>
  <c r="M117" i="2"/>
  <c r="L117" i="2"/>
  <c r="K117" i="2"/>
  <c r="J117" i="2"/>
  <c r="Q116" i="2"/>
  <c r="P116" i="2"/>
  <c r="O116" i="2"/>
  <c r="N116" i="2"/>
  <c r="M116" i="2"/>
  <c r="L116" i="2"/>
  <c r="K116" i="2"/>
  <c r="J116" i="2"/>
  <c r="Q115" i="2"/>
  <c r="P115" i="2"/>
  <c r="O115" i="2"/>
  <c r="N115" i="2"/>
  <c r="M115" i="2"/>
  <c r="L115" i="2"/>
  <c r="K115" i="2"/>
  <c r="J115" i="2"/>
  <c r="Q114" i="2"/>
  <c r="P114" i="2"/>
  <c r="O114" i="2"/>
  <c r="N114" i="2"/>
  <c r="M114" i="2"/>
  <c r="L114" i="2"/>
  <c r="K114" i="2"/>
  <c r="J114" i="2"/>
  <c r="Q113" i="2"/>
  <c r="P113" i="2"/>
  <c r="O113" i="2"/>
  <c r="N113" i="2"/>
  <c r="M113" i="2"/>
  <c r="L113" i="2"/>
  <c r="K113" i="2"/>
  <c r="J113" i="2"/>
  <c r="Q112" i="2"/>
  <c r="P112" i="2"/>
  <c r="O112" i="2"/>
  <c r="N112" i="2"/>
  <c r="M112" i="2"/>
  <c r="L112" i="2"/>
  <c r="K112" i="2"/>
  <c r="J112" i="2"/>
  <c r="Q111" i="2"/>
  <c r="P111" i="2"/>
  <c r="O111" i="2"/>
  <c r="N111" i="2"/>
  <c r="M111" i="2"/>
  <c r="L111" i="2"/>
  <c r="K111" i="2"/>
  <c r="J111" i="2"/>
  <c r="Q110" i="2"/>
  <c r="P110" i="2"/>
  <c r="O110" i="2"/>
  <c r="N110" i="2"/>
  <c r="M110" i="2"/>
  <c r="L110" i="2"/>
  <c r="K110" i="2"/>
  <c r="J110" i="2"/>
  <c r="Q109" i="2"/>
  <c r="P109" i="2"/>
  <c r="O109" i="2"/>
  <c r="N109" i="2"/>
  <c r="M109" i="2"/>
  <c r="L109" i="2"/>
  <c r="K109" i="2"/>
  <c r="J109" i="2"/>
  <c r="Q108" i="2"/>
  <c r="P108" i="2"/>
  <c r="O108" i="2"/>
  <c r="N108" i="2"/>
  <c r="M108" i="2"/>
  <c r="L108" i="2"/>
  <c r="K108" i="2"/>
  <c r="J108" i="2"/>
  <c r="Q107" i="2"/>
  <c r="P107" i="2"/>
  <c r="O107" i="2"/>
  <c r="N107" i="2"/>
  <c r="M107" i="2"/>
  <c r="L107" i="2"/>
  <c r="K107" i="2"/>
  <c r="J107" i="2"/>
  <c r="Q106" i="2"/>
  <c r="P106" i="2"/>
  <c r="O106" i="2"/>
  <c r="N106" i="2"/>
  <c r="M106" i="2"/>
  <c r="L106" i="2"/>
  <c r="K106" i="2"/>
  <c r="J106" i="2"/>
  <c r="Q105" i="2"/>
  <c r="P105" i="2"/>
  <c r="O105" i="2"/>
  <c r="N105" i="2"/>
  <c r="M105" i="2"/>
  <c r="L105" i="2"/>
  <c r="K105" i="2"/>
  <c r="J105" i="2"/>
  <c r="Q104" i="2"/>
  <c r="P104" i="2"/>
  <c r="O104" i="2"/>
  <c r="N104" i="2"/>
  <c r="M104" i="2"/>
  <c r="L104" i="2"/>
  <c r="K104" i="2"/>
  <c r="J104" i="2"/>
  <c r="Q103" i="2"/>
  <c r="P103" i="2"/>
  <c r="O103" i="2"/>
  <c r="N103" i="2"/>
  <c r="M103" i="2"/>
  <c r="L103" i="2"/>
  <c r="K103" i="2"/>
  <c r="J103" i="2"/>
  <c r="Q102" i="2"/>
  <c r="P102" i="2"/>
  <c r="O102" i="2"/>
  <c r="N102" i="2"/>
  <c r="M102" i="2"/>
  <c r="L102" i="2"/>
  <c r="K102" i="2"/>
  <c r="J102" i="2"/>
  <c r="Q101" i="2"/>
  <c r="P101" i="2"/>
  <c r="O101" i="2"/>
  <c r="N101" i="2"/>
  <c r="M101" i="2"/>
  <c r="L101" i="2"/>
  <c r="K101" i="2"/>
  <c r="J101" i="2"/>
  <c r="Q100" i="2"/>
  <c r="P100" i="2"/>
  <c r="O100" i="2"/>
  <c r="N100" i="2"/>
  <c r="M100" i="2"/>
  <c r="L100" i="2"/>
  <c r="K100" i="2"/>
  <c r="J100" i="2"/>
  <c r="Q99" i="2"/>
  <c r="P99" i="2"/>
  <c r="O99" i="2"/>
  <c r="N99" i="2"/>
  <c r="M99" i="2"/>
  <c r="L99" i="2"/>
  <c r="K99" i="2"/>
  <c r="J99" i="2"/>
  <c r="Q98" i="2"/>
  <c r="P98" i="2"/>
  <c r="O98" i="2"/>
  <c r="N98" i="2"/>
  <c r="M98" i="2"/>
  <c r="L98" i="2"/>
  <c r="K98" i="2"/>
  <c r="J98" i="2"/>
  <c r="Q97" i="2"/>
  <c r="P97" i="2"/>
  <c r="O97" i="2"/>
  <c r="N97" i="2"/>
  <c r="M97" i="2"/>
  <c r="L97" i="2"/>
  <c r="K97" i="2"/>
  <c r="J97" i="2"/>
  <c r="Q96" i="2"/>
  <c r="P96" i="2"/>
  <c r="O96" i="2"/>
  <c r="N96" i="2"/>
  <c r="M96" i="2"/>
  <c r="L96" i="2"/>
  <c r="K96" i="2"/>
  <c r="J96" i="2"/>
  <c r="Q95" i="2"/>
  <c r="P95" i="2"/>
  <c r="O95" i="2"/>
  <c r="N95" i="2"/>
  <c r="M95" i="2"/>
  <c r="L95" i="2"/>
  <c r="K95" i="2"/>
  <c r="J95" i="2"/>
  <c r="Q94" i="2"/>
  <c r="P94" i="2"/>
  <c r="O94" i="2"/>
  <c r="N94" i="2"/>
  <c r="M94" i="2"/>
  <c r="L94" i="2"/>
  <c r="K94" i="2"/>
  <c r="J94" i="2"/>
  <c r="Q93" i="2"/>
  <c r="P93" i="2"/>
  <c r="O93" i="2"/>
  <c r="N93" i="2"/>
  <c r="M93" i="2"/>
  <c r="L93" i="2"/>
  <c r="K93" i="2"/>
  <c r="J93" i="2"/>
  <c r="Q92" i="2"/>
  <c r="P92" i="2"/>
  <c r="O92" i="2"/>
  <c r="N92" i="2"/>
  <c r="M92" i="2"/>
  <c r="L92" i="2"/>
  <c r="K92" i="2"/>
  <c r="J92" i="2"/>
  <c r="Q91" i="2"/>
  <c r="P91" i="2"/>
  <c r="O91" i="2"/>
  <c r="N91" i="2"/>
  <c r="M91" i="2"/>
  <c r="L91" i="2"/>
  <c r="K91" i="2"/>
  <c r="J91" i="2"/>
  <c r="Q90" i="2"/>
  <c r="P90" i="2"/>
  <c r="O90" i="2"/>
  <c r="N90" i="2"/>
  <c r="M90" i="2"/>
  <c r="L90" i="2"/>
  <c r="K90" i="2"/>
  <c r="J90" i="2"/>
  <c r="Q89" i="2"/>
  <c r="P89" i="2"/>
  <c r="O89" i="2"/>
  <c r="N89" i="2"/>
  <c r="M89" i="2"/>
  <c r="L89" i="2"/>
  <c r="K89" i="2"/>
  <c r="J89" i="2"/>
  <c r="Q88" i="2"/>
  <c r="P88" i="2"/>
  <c r="O88" i="2"/>
  <c r="N88" i="2"/>
  <c r="M88" i="2"/>
  <c r="L88" i="2"/>
  <c r="K88" i="2"/>
  <c r="J88" i="2"/>
  <c r="Q87" i="2"/>
  <c r="P87" i="2"/>
  <c r="O87" i="2"/>
  <c r="N87" i="2"/>
  <c r="M87" i="2"/>
  <c r="L87" i="2"/>
  <c r="K87" i="2"/>
  <c r="J87" i="2"/>
  <c r="Q86" i="2"/>
  <c r="P86" i="2"/>
  <c r="O86" i="2"/>
  <c r="N86" i="2"/>
  <c r="M86" i="2"/>
  <c r="L86" i="2"/>
  <c r="K86" i="2"/>
  <c r="J86" i="2"/>
  <c r="Q85" i="2"/>
  <c r="P85" i="2"/>
  <c r="O85" i="2"/>
  <c r="N85" i="2"/>
  <c r="M85" i="2"/>
  <c r="L85" i="2"/>
  <c r="K85" i="2"/>
  <c r="J85" i="2"/>
  <c r="Q84" i="2"/>
  <c r="P84" i="2"/>
  <c r="O84" i="2"/>
  <c r="N84" i="2"/>
  <c r="M84" i="2"/>
  <c r="L84" i="2"/>
  <c r="K84" i="2"/>
  <c r="J84" i="2"/>
  <c r="Q83" i="2"/>
  <c r="P83" i="2"/>
  <c r="O83" i="2"/>
  <c r="N83" i="2"/>
  <c r="M83" i="2"/>
  <c r="L83" i="2"/>
  <c r="K83" i="2"/>
  <c r="J83" i="2"/>
  <c r="Q82" i="2"/>
  <c r="P82" i="2"/>
  <c r="O82" i="2"/>
  <c r="N82" i="2"/>
  <c r="M82" i="2"/>
  <c r="L82" i="2"/>
  <c r="K82" i="2"/>
  <c r="J82" i="2"/>
  <c r="Q81" i="2"/>
  <c r="P81" i="2"/>
  <c r="O81" i="2"/>
  <c r="N81" i="2"/>
  <c r="M81" i="2"/>
  <c r="L81" i="2"/>
  <c r="K81" i="2"/>
  <c r="J81" i="2"/>
  <c r="Q80" i="2"/>
  <c r="P80" i="2"/>
  <c r="O80" i="2"/>
  <c r="N80" i="2"/>
  <c r="M80" i="2"/>
  <c r="L80" i="2"/>
  <c r="K80" i="2"/>
  <c r="J80" i="2"/>
  <c r="Q79" i="2"/>
  <c r="P79" i="2"/>
  <c r="O79" i="2"/>
  <c r="N79" i="2"/>
  <c r="M79" i="2"/>
  <c r="L79" i="2"/>
  <c r="K79" i="2"/>
  <c r="J79" i="2"/>
  <c r="Q78" i="2"/>
  <c r="P78" i="2"/>
  <c r="O78" i="2"/>
  <c r="N78" i="2"/>
  <c r="M78" i="2"/>
  <c r="L78" i="2"/>
  <c r="K78" i="2"/>
  <c r="J78" i="2"/>
  <c r="Q77" i="2"/>
  <c r="P77" i="2"/>
  <c r="O77" i="2"/>
  <c r="N77" i="2"/>
  <c r="M77" i="2"/>
  <c r="L77" i="2"/>
  <c r="K77" i="2"/>
  <c r="J77" i="2"/>
  <c r="Q76" i="2"/>
  <c r="P76" i="2"/>
  <c r="O76" i="2"/>
  <c r="N76" i="2"/>
  <c r="M76" i="2"/>
  <c r="L76" i="2"/>
  <c r="K76" i="2"/>
  <c r="J76" i="2"/>
  <c r="Q75" i="2"/>
  <c r="P75" i="2"/>
  <c r="O75" i="2"/>
  <c r="N75" i="2"/>
  <c r="M75" i="2"/>
  <c r="L75" i="2"/>
  <c r="K75" i="2"/>
  <c r="J75" i="2"/>
  <c r="Q74" i="2"/>
  <c r="P74" i="2"/>
  <c r="O74" i="2"/>
  <c r="N74" i="2"/>
  <c r="M74" i="2"/>
  <c r="L74" i="2"/>
  <c r="K74" i="2"/>
  <c r="J74" i="2"/>
  <c r="Q73" i="2"/>
  <c r="P73" i="2"/>
  <c r="O73" i="2"/>
  <c r="N73" i="2"/>
  <c r="M73" i="2"/>
  <c r="L73" i="2"/>
  <c r="K73" i="2"/>
  <c r="J73" i="2"/>
  <c r="Q72" i="2"/>
  <c r="P72" i="2"/>
  <c r="O72" i="2"/>
  <c r="N72" i="2"/>
  <c r="M72" i="2"/>
  <c r="L72" i="2"/>
  <c r="K72" i="2"/>
  <c r="J72" i="2"/>
  <c r="Q71" i="2"/>
  <c r="P71" i="2"/>
  <c r="O71" i="2"/>
  <c r="N71" i="2"/>
  <c r="M71" i="2"/>
  <c r="L71" i="2"/>
  <c r="K71" i="2"/>
  <c r="J71" i="2"/>
  <c r="Q70" i="2"/>
  <c r="P70" i="2"/>
  <c r="O70" i="2"/>
  <c r="N70" i="2"/>
  <c r="M70" i="2"/>
  <c r="L70" i="2"/>
  <c r="K70" i="2"/>
  <c r="J70" i="2"/>
  <c r="Q69" i="2"/>
  <c r="P69" i="2"/>
  <c r="O69" i="2"/>
  <c r="N69" i="2"/>
  <c r="M69" i="2"/>
  <c r="L69" i="2"/>
  <c r="K69" i="2"/>
  <c r="J69" i="2"/>
  <c r="Q68" i="2"/>
  <c r="P68" i="2"/>
  <c r="O68" i="2"/>
  <c r="N68" i="2"/>
  <c r="M68" i="2"/>
  <c r="L68" i="2"/>
  <c r="K68" i="2"/>
  <c r="J68" i="2"/>
  <c r="Q67" i="2"/>
  <c r="P67" i="2"/>
  <c r="O67" i="2"/>
  <c r="N67" i="2"/>
  <c r="M67" i="2"/>
  <c r="L67" i="2"/>
  <c r="K67" i="2"/>
  <c r="J67" i="2"/>
  <c r="Q66" i="2"/>
  <c r="P66" i="2"/>
  <c r="O66" i="2"/>
  <c r="N66" i="2"/>
  <c r="M66" i="2"/>
  <c r="L66" i="2"/>
  <c r="K66" i="2"/>
  <c r="J66" i="2"/>
  <c r="Q65" i="2"/>
  <c r="P65" i="2"/>
  <c r="O65" i="2"/>
  <c r="N65" i="2"/>
  <c r="M65" i="2"/>
  <c r="L65" i="2"/>
  <c r="K65" i="2"/>
  <c r="J65" i="2"/>
  <c r="Q64" i="2"/>
  <c r="P64" i="2"/>
  <c r="O64" i="2"/>
  <c r="N64" i="2"/>
  <c r="M64" i="2"/>
  <c r="L64" i="2"/>
  <c r="K64" i="2"/>
  <c r="J64" i="2"/>
  <c r="Q63" i="2"/>
  <c r="P63" i="2"/>
  <c r="O63" i="2"/>
  <c r="N63" i="2"/>
  <c r="M63" i="2"/>
  <c r="L63" i="2"/>
  <c r="K63" i="2"/>
  <c r="J63" i="2"/>
  <c r="Q62" i="2"/>
  <c r="P62" i="2"/>
  <c r="O62" i="2"/>
  <c r="N62" i="2"/>
  <c r="M62" i="2"/>
  <c r="L62" i="2"/>
  <c r="K62" i="2"/>
  <c r="J62" i="2"/>
  <c r="Q61" i="2"/>
  <c r="P61" i="2"/>
  <c r="O61" i="2"/>
  <c r="N61" i="2"/>
  <c r="M61" i="2"/>
  <c r="L61" i="2"/>
  <c r="K61" i="2"/>
  <c r="J61" i="2"/>
  <c r="Q60" i="2"/>
  <c r="P60" i="2"/>
  <c r="O60" i="2"/>
  <c r="N60" i="2"/>
  <c r="M60" i="2"/>
  <c r="L60" i="2"/>
  <c r="K60" i="2"/>
  <c r="J60" i="2"/>
  <c r="Q59" i="2"/>
  <c r="P59" i="2"/>
  <c r="O59" i="2"/>
  <c r="N59" i="2"/>
  <c r="M59" i="2"/>
  <c r="L59" i="2"/>
  <c r="K59" i="2"/>
  <c r="J59" i="2"/>
  <c r="Q58" i="2"/>
  <c r="P58" i="2"/>
  <c r="O58" i="2"/>
  <c r="N58" i="2"/>
  <c r="M58" i="2"/>
  <c r="L58" i="2"/>
  <c r="K58" i="2"/>
  <c r="J58" i="2"/>
  <c r="Q57" i="2"/>
  <c r="P57" i="2"/>
  <c r="O57" i="2"/>
  <c r="N57" i="2"/>
  <c r="M57" i="2"/>
  <c r="L57" i="2"/>
  <c r="K57" i="2"/>
  <c r="J57" i="2"/>
  <c r="Q56" i="2"/>
  <c r="P56" i="2"/>
  <c r="O56" i="2"/>
  <c r="N56" i="2"/>
  <c r="M56" i="2"/>
  <c r="L56" i="2"/>
  <c r="K56" i="2"/>
  <c r="J56" i="2"/>
  <c r="Q55" i="2"/>
  <c r="P55" i="2"/>
  <c r="O55" i="2"/>
  <c r="N55" i="2"/>
  <c r="M55" i="2"/>
  <c r="L55" i="2"/>
  <c r="K55" i="2"/>
  <c r="J55" i="2"/>
  <c r="Q54" i="2"/>
  <c r="P54" i="2"/>
  <c r="O54" i="2"/>
  <c r="N54" i="2"/>
  <c r="M54" i="2"/>
  <c r="L54" i="2"/>
  <c r="K54" i="2"/>
  <c r="J54" i="2"/>
  <c r="Q53" i="2"/>
  <c r="P53" i="2"/>
  <c r="O53" i="2"/>
  <c r="N53" i="2"/>
  <c r="M53" i="2"/>
  <c r="L53" i="2"/>
  <c r="K53" i="2"/>
  <c r="J53" i="2"/>
  <c r="Q52" i="2"/>
  <c r="P52" i="2"/>
  <c r="O52" i="2"/>
  <c r="N52" i="2"/>
  <c r="M52" i="2"/>
  <c r="L52" i="2"/>
  <c r="K52" i="2"/>
  <c r="J52" i="2"/>
  <c r="Q51" i="2"/>
  <c r="P51" i="2"/>
  <c r="O51" i="2"/>
  <c r="N51" i="2"/>
  <c r="M51" i="2"/>
  <c r="L51" i="2"/>
  <c r="K51" i="2"/>
  <c r="J51" i="2"/>
  <c r="Q50" i="2"/>
  <c r="P50" i="2"/>
  <c r="O50" i="2"/>
  <c r="N50" i="2"/>
  <c r="M50" i="2"/>
  <c r="L50" i="2"/>
  <c r="K50" i="2"/>
  <c r="J50" i="2"/>
  <c r="Q49" i="2"/>
  <c r="P49" i="2"/>
  <c r="O49" i="2"/>
  <c r="N49" i="2"/>
  <c r="M49" i="2"/>
  <c r="L49" i="2"/>
  <c r="K49" i="2"/>
  <c r="J49" i="2"/>
  <c r="Q48" i="2"/>
  <c r="P48" i="2"/>
  <c r="O48" i="2"/>
  <c r="N48" i="2"/>
  <c r="M48" i="2"/>
  <c r="L48" i="2"/>
  <c r="K48" i="2"/>
  <c r="J48" i="2"/>
  <c r="Q47" i="2"/>
  <c r="P47" i="2"/>
  <c r="O47" i="2"/>
  <c r="N47" i="2"/>
  <c r="M47" i="2"/>
  <c r="L47" i="2"/>
  <c r="K47" i="2"/>
  <c r="J47" i="2"/>
  <c r="Q46" i="2"/>
  <c r="P46" i="2"/>
  <c r="O46" i="2"/>
  <c r="N46" i="2"/>
  <c r="M46" i="2"/>
  <c r="L46" i="2"/>
  <c r="K46" i="2"/>
  <c r="J46" i="2"/>
  <c r="Q45" i="2"/>
  <c r="P45" i="2"/>
  <c r="O45" i="2"/>
  <c r="N45" i="2"/>
  <c r="M45" i="2"/>
  <c r="L45" i="2"/>
  <c r="K45" i="2"/>
  <c r="J45" i="2"/>
  <c r="Q44" i="2"/>
  <c r="P44" i="2"/>
  <c r="O44" i="2"/>
  <c r="N44" i="2"/>
  <c r="M44" i="2"/>
  <c r="L44" i="2"/>
  <c r="K44" i="2"/>
  <c r="J44" i="2"/>
  <c r="Q43" i="2"/>
  <c r="P43" i="2"/>
  <c r="O43" i="2"/>
  <c r="N43" i="2"/>
  <c r="M43" i="2"/>
  <c r="L43" i="2"/>
  <c r="K43" i="2"/>
  <c r="J43" i="2"/>
  <c r="Q42" i="2"/>
  <c r="P42" i="2"/>
  <c r="O42" i="2"/>
  <c r="N42" i="2"/>
  <c r="M42" i="2"/>
  <c r="L42" i="2"/>
  <c r="K42" i="2"/>
  <c r="J42" i="2"/>
  <c r="Q41" i="2"/>
  <c r="P41" i="2"/>
  <c r="O41" i="2"/>
  <c r="N41" i="2"/>
  <c r="M41" i="2"/>
  <c r="L41" i="2"/>
  <c r="K41" i="2"/>
  <c r="J41" i="2"/>
  <c r="Q40" i="2"/>
  <c r="P40" i="2"/>
  <c r="O40" i="2"/>
  <c r="N40" i="2"/>
  <c r="M40" i="2"/>
  <c r="L40" i="2"/>
  <c r="B29" i="6" s="1"/>
  <c r="K40" i="2"/>
  <c r="J40" i="2"/>
  <c r="Q39" i="2"/>
  <c r="P39" i="2"/>
  <c r="O39" i="2"/>
  <c r="N39" i="2"/>
  <c r="M39" i="2"/>
  <c r="L39" i="2"/>
  <c r="K39" i="2"/>
  <c r="J39" i="2"/>
  <c r="Q38" i="2"/>
  <c r="P38" i="2"/>
  <c r="O38" i="2"/>
  <c r="N38" i="2"/>
  <c r="M38" i="2"/>
  <c r="L38" i="2"/>
  <c r="K38" i="2"/>
  <c r="J38" i="2"/>
  <c r="Q37" i="2"/>
  <c r="P37" i="2"/>
  <c r="O37" i="2"/>
  <c r="N37" i="2"/>
  <c r="M37" i="2"/>
  <c r="L37" i="2"/>
  <c r="K37" i="2"/>
  <c r="J37" i="2"/>
  <c r="Q36" i="2"/>
  <c r="P36" i="2"/>
  <c r="O36" i="2"/>
  <c r="N36" i="2"/>
  <c r="M36" i="2"/>
  <c r="L36" i="2"/>
  <c r="K36" i="2"/>
  <c r="J36" i="2"/>
  <c r="Q35" i="2"/>
  <c r="P35" i="2"/>
  <c r="O35" i="2"/>
  <c r="N35" i="2"/>
  <c r="M35" i="2"/>
  <c r="L35" i="2"/>
  <c r="K35" i="2"/>
  <c r="J35" i="2"/>
  <c r="Q34" i="2"/>
  <c r="P34" i="2"/>
  <c r="O34" i="2"/>
  <c r="N34" i="2"/>
  <c r="M34" i="2"/>
  <c r="L34" i="2"/>
  <c r="K34" i="2"/>
  <c r="J34" i="2"/>
  <c r="Q33" i="2"/>
  <c r="P33" i="2"/>
  <c r="O33" i="2"/>
  <c r="N33" i="2"/>
  <c r="M33" i="2"/>
  <c r="L33" i="2"/>
  <c r="K33" i="2"/>
  <c r="J33" i="2"/>
  <c r="Q32" i="2"/>
  <c r="P32" i="2"/>
  <c r="O32" i="2"/>
  <c r="N32" i="2"/>
  <c r="M32" i="2"/>
  <c r="L32" i="2"/>
  <c r="K32" i="2"/>
  <c r="J32" i="2"/>
  <c r="Q31" i="2"/>
  <c r="P31" i="2"/>
  <c r="O31" i="2"/>
  <c r="N31" i="2"/>
  <c r="M31" i="2"/>
  <c r="L31" i="2"/>
  <c r="K31" i="2"/>
  <c r="J31" i="2"/>
  <c r="Q30" i="2"/>
  <c r="P30" i="2"/>
  <c r="O30" i="2"/>
  <c r="N30" i="2"/>
  <c r="M30" i="2"/>
  <c r="L30" i="2"/>
  <c r="K30" i="2"/>
  <c r="J30" i="2"/>
  <c r="Q29" i="2"/>
  <c r="P29" i="2"/>
  <c r="O29" i="2"/>
  <c r="N29" i="2"/>
  <c r="M29" i="2"/>
  <c r="L29" i="2"/>
  <c r="K29" i="2"/>
  <c r="J29" i="2"/>
  <c r="Q28" i="2"/>
  <c r="P28" i="2"/>
  <c r="O28" i="2"/>
  <c r="N28" i="2"/>
  <c r="M28" i="2"/>
  <c r="L28" i="2"/>
  <c r="K28" i="2"/>
  <c r="J28" i="2"/>
  <c r="Q27" i="2"/>
  <c r="P27" i="2"/>
  <c r="O27" i="2"/>
  <c r="N27" i="2"/>
  <c r="M27" i="2"/>
  <c r="L27" i="2"/>
  <c r="K27" i="2"/>
  <c r="J27" i="2"/>
  <c r="Q26" i="2"/>
  <c r="P26" i="2"/>
  <c r="O26" i="2"/>
  <c r="N26" i="2"/>
  <c r="M26" i="2"/>
  <c r="L26" i="2"/>
  <c r="C28" i="7" s="1"/>
  <c r="K26" i="2"/>
  <c r="J26" i="2"/>
  <c r="Q25" i="2"/>
  <c r="P25" i="2"/>
  <c r="O25" i="2"/>
  <c r="N25" i="2"/>
  <c r="M25" i="2"/>
  <c r="L25" i="2"/>
  <c r="K25" i="2"/>
  <c r="J25" i="2"/>
  <c r="Q24" i="2"/>
  <c r="P24" i="2"/>
  <c r="O24" i="2"/>
  <c r="N24" i="2"/>
  <c r="M24" i="2"/>
  <c r="L24" i="2"/>
  <c r="K24" i="2"/>
  <c r="J24" i="2"/>
  <c r="Q23" i="2"/>
  <c r="P23" i="2"/>
  <c r="O23" i="2"/>
  <c r="N23" i="2"/>
  <c r="M23" i="2"/>
  <c r="L23" i="2"/>
  <c r="K23" i="2"/>
  <c r="J23" i="2"/>
  <c r="Q22" i="2"/>
  <c r="P22" i="2"/>
  <c r="O22" i="2"/>
  <c r="N22" i="2"/>
  <c r="M22" i="2"/>
  <c r="L22" i="2"/>
  <c r="K22" i="2"/>
  <c r="J22" i="2"/>
  <c r="Q21" i="2"/>
  <c r="P21" i="2"/>
  <c r="O21" i="2"/>
  <c r="N21" i="2"/>
  <c r="M21" i="2"/>
  <c r="L21" i="2"/>
  <c r="K21" i="2"/>
  <c r="J21" i="2"/>
  <c r="Q20" i="2"/>
  <c r="P20" i="2"/>
  <c r="O20" i="2"/>
  <c r="N20" i="2"/>
  <c r="M20" i="2"/>
  <c r="L20" i="2"/>
  <c r="K20" i="2"/>
  <c r="J20" i="2"/>
  <c r="Q19" i="2"/>
  <c r="P19" i="2"/>
  <c r="O19" i="2"/>
  <c r="N19" i="2"/>
  <c r="M19" i="2"/>
  <c r="L19" i="2"/>
  <c r="K19" i="2"/>
  <c r="J19" i="2"/>
  <c r="Q18" i="2"/>
  <c r="P18" i="2"/>
  <c r="O18" i="2"/>
  <c r="N18" i="2"/>
  <c r="M18" i="2"/>
  <c r="L18" i="2"/>
  <c r="B28" i="6" s="1"/>
  <c r="K18" i="2"/>
  <c r="J18" i="2"/>
  <c r="Q17" i="2"/>
  <c r="P17" i="2"/>
  <c r="O17" i="2"/>
  <c r="N17" i="2"/>
  <c r="M17" i="2"/>
  <c r="L17" i="2"/>
  <c r="K17" i="2"/>
  <c r="J17" i="2"/>
  <c r="Q16" i="2"/>
  <c r="P16" i="2"/>
  <c r="O16" i="2"/>
  <c r="N16" i="2"/>
  <c r="M16" i="2"/>
  <c r="L16" i="2"/>
  <c r="K16" i="2"/>
  <c r="J16" i="2"/>
  <c r="Q15" i="2"/>
  <c r="P15" i="2"/>
  <c r="O15" i="2"/>
  <c r="N15" i="2"/>
  <c r="M15" i="2"/>
  <c r="L15" i="2"/>
  <c r="K15" i="2"/>
  <c r="J15" i="2"/>
  <c r="Q14" i="2"/>
  <c r="P14" i="2"/>
  <c r="O14" i="2"/>
  <c r="N14" i="2"/>
  <c r="M14" i="2"/>
  <c r="L14" i="2"/>
  <c r="K14" i="2"/>
  <c r="J14" i="2"/>
  <c r="Q13" i="2"/>
  <c r="P13" i="2"/>
  <c r="O13" i="2"/>
  <c r="N13" i="2"/>
  <c r="M13" i="2"/>
  <c r="L13" i="2"/>
  <c r="K13" i="2"/>
  <c r="J13" i="2"/>
  <c r="Q12" i="2"/>
  <c r="P12" i="2"/>
  <c r="O12" i="2"/>
  <c r="N12" i="2"/>
  <c r="M12" i="2"/>
  <c r="L12" i="2"/>
  <c r="K12" i="2"/>
  <c r="J12" i="2"/>
  <c r="Q11" i="2"/>
  <c r="P11" i="2"/>
  <c r="O11" i="2"/>
  <c r="N11" i="2"/>
  <c r="M11" i="2"/>
  <c r="L11" i="2"/>
  <c r="K11" i="2"/>
  <c r="J11" i="2"/>
  <c r="Q10" i="2"/>
  <c r="P10" i="2"/>
  <c r="O10" i="2"/>
  <c r="N10" i="2"/>
  <c r="M10" i="2"/>
  <c r="L10" i="2"/>
  <c r="K10" i="2"/>
  <c r="J10" i="2"/>
  <c r="Q9" i="2"/>
  <c r="P9" i="2"/>
  <c r="O9" i="2"/>
  <c r="N9" i="2"/>
  <c r="M9" i="2"/>
  <c r="L9" i="2"/>
  <c r="K9" i="2"/>
  <c r="J9" i="2"/>
  <c r="Q8" i="2"/>
  <c r="P8" i="2"/>
  <c r="O8" i="2"/>
  <c r="N8" i="2"/>
  <c r="M8" i="2"/>
  <c r="L8" i="2"/>
  <c r="C24" i="7" s="1"/>
  <c r="K8" i="2"/>
  <c r="J8" i="2"/>
  <c r="Q7" i="2"/>
  <c r="P7" i="2"/>
  <c r="O7" i="2"/>
  <c r="N7" i="2"/>
  <c r="M7" i="2"/>
  <c r="L7" i="2"/>
  <c r="B26" i="6" s="1"/>
  <c r="K7" i="2"/>
  <c r="J7" i="2"/>
  <c r="Q6" i="2"/>
  <c r="P6" i="2"/>
  <c r="O6" i="2"/>
  <c r="N6" i="2"/>
  <c r="M6" i="2"/>
  <c r="L6" i="2"/>
  <c r="K6" i="2"/>
  <c r="J6" i="2"/>
  <c r="Q5" i="2"/>
  <c r="P5" i="2"/>
  <c r="O5" i="2"/>
  <c r="N5" i="2"/>
  <c r="M5" i="2"/>
  <c r="L5" i="2"/>
  <c r="B17" i="6" s="1"/>
  <c r="K5" i="2"/>
  <c r="J5" i="2"/>
  <c r="Q4" i="2"/>
  <c r="P4" i="2"/>
  <c r="O4" i="2"/>
  <c r="N4" i="2"/>
  <c r="B28" i="4" s="1"/>
  <c r="M4" i="2"/>
  <c r="L4" i="2"/>
  <c r="C16" i="7" s="1"/>
  <c r="K4" i="2"/>
  <c r="C51" i="5" s="1"/>
  <c r="J4" i="2"/>
  <c r="C29" i="6"/>
  <c r="B27" i="6"/>
  <c r="C26" i="6"/>
  <c r="C25" i="6"/>
  <c r="B19" i="6"/>
  <c r="C17" i="6"/>
  <c r="B40" i="4" l="1"/>
  <c r="B29" i="4"/>
  <c r="C64" i="4"/>
  <c r="B67" i="4"/>
  <c r="C72" i="4"/>
  <c r="B36" i="5"/>
  <c r="B40" i="5"/>
  <c r="B44" i="5"/>
  <c r="B48" i="5"/>
  <c r="B52" i="5"/>
  <c r="D59" i="5"/>
  <c r="C62" i="5"/>
  <c r="B17" i="7"/>
  <c r="B25" i="7"/>
  <c r="J8" i="6"/>
  <c r="C19" i="6"/>
  <c r="C27" i="6"/>
  <c r="B70" i="4"/>
  <c r="C36" i="5"/>
  <c r="C40" i="5"/>
  <c r="C44" i="5"/>
  <c r="C48" i="5"/>
  <c r="C52" i="5"/>
  <c r="B60" i="5"/>
  <c r="D62" i="5"/>
  <c r="C17" i="7"/>
  <c r="C25" i="7"/>
  <c r="C18" i="6"/>
  <c r="B16" i="6"/>
  <c r="B37" i="5"/>
  <c r="B41" i="5"/>
  <c r="B45" i="5"/>
  <c r="B49" i="5"/>
  <c r="B53" i="5"/>
  <c r="C60" i="5"/>
  <c r="A8" i="7"/>
  <c r="B18" i="7"/>
  <c r="B26" i="7"/>
  <c r="B20" i="6"/>
  <c r="C16" i="6"/>
  <c r="C20" i="6"/>
  <c r="C28" i="6"/>
  <c r="C37" i="5"/>
  <c r="C41" i="5"/>
  <c r="C45" i="5"/>
  <c r="C49" i="5"/>
  <c r="C53" i="5"/>
  <c r="D60" i="5"/>
  <c r="D8" i="7"/>
  <c r="C18" i="7"/>
  <c r="C26" i="7"/>
  <c r="D8" i="6"/>
  <c r="B25" i="6"/>
  <c r="B63" i="4"/>
  <c r="B71" i="4"/>
  <c r="B38" i="5"/>
  <c r="B42" i="5"/>
  <c r="B46" i="5"/>
  <c r="B50" i="5"/>
  <c r="B54" i="5"/>
  <c r="B61" i="5"/>
  <c r="G8" i="7"/>
  <c r="B19" i="7"/>
  <c r="B27" i="7"/>
  <c r="C38" i="5"/>
  <c r="C42" i="5"/>
  <c r="C46" i="5"/>
  <c r="C50" i="5"/>
  <c r="C54" i="5"/>
  <c r="C61" i="5"/>
  <c r="J8" i="7"/>
  <c r="C19" i="7"/>
  <c r="C27" i="7"/>
  <c r="A8" i="6"/>
  <c r="B18" i="6"/>
  <c r="B27" i="4"/>
  <c r="B39" i="5"/>
  <c r="B43" i="5"/>
  <c r="B47" i="5"/>
  <c r="B51" i="5"/>
  <c r="B59" i="5"/>
  <c r="D61" i="5"/>
  <c r="B16" i="7"/>
  <c r="B24" i="7"/>
  <c r="B28" i="7"/>
  <c r="C39" i="5"/>
  <c r="C43" i="5"/>
  <c r="C47" i="5"/>
  <c r="C59" i="5"/>
  <c r="B62" i="5"/>
</calcChain>
</file>

<file path=xl/sharedStrings.xml><?xml version="1.0" encoding="utf-8"?>
<sst xmlns="http://schemas.openxmlformats.org/spreadsheetml/2006/main" count="2258" uniqueCount="490">
  <si>
    <t>RAW DATA - ORIGINAL, UNMODIFIED (DO NOT EDIT)</t>
  </si>
  <si>
    <t>Policy_ID</t>
  </si>
  <si>
    <t>Policy_Date</t>
  </si>
  <si>
    <t>Policy_Type</t>
  </si>
  <si>
    <t>Customer_Age</t>
  </si>
  <si>
    <t>Premium</t>
  </si>
  <si>
    <t>Claim_Amount</t>
  </si>
  <si>
    <t>Claim_Status</t>
  </si>
  <si>
    <t>POL00110</t>
  </si>
  <si>
    <t>Life</t>
  </si>
  <si>
    <t>No Claim</t>
  </si>
  <si>
    <t>POL00229</t>
  </si>
  <si>
    <t>Motor</t>
  </si>
  <si>
    <t>Pending</t>
  </si>
  <si>
    <t>POL00098</t>
  </si>
  <si>
    <t>POL00220</t>
  </si>
  <si>
    <t>Property</t>
  </si>
  <si>
    <t>Approved</t>
  </si>
  <si>
    <t>POL00088</t>
  </si>
  <si>
    <t>Health</t>
  </si>
  <si>
    <t>POL00112</t>
  </si>
  <si>
    <t>POL00167</t>
  </si>
  <si>
    <t>POL00276</t>
  </si>
  <si>
    <t>POL00281</t>
  </si>
  <si>
    <t>POL00066</t>
  </si>
  <si>
    <t>POL00124</t>
  </si>
  <si>
    <t>POL00206</t>
  </si>
  <si>
    <t>POL00020</t>
  </si>
  <si>
    <t>POL00219</t>
  </si>
  <si>
    <t>POL00238</t>
  </si>
  <si>
    <t>Rejected</t>
  </si>
  <si>
    <t>POL00213</t>
  </si>
  <si>
    <t>POL00108</t>
  </si>
  <si>
    <t>POL00081</t>
  </si>
  <si>
    <t>POL00013</t>
  </si>
  <si>
    <t>POL00168</t>
  </si>
  <si>
    <t>POL00215</t>
  </si>
  <si>
    <t>POL00267</t>
  </si>
  <si>
    <t>Unknown</t>
  </si>
  <si>
    <t>POL00223</t>
  </si>
  <si>
    <t>Travel</t>
  </si>
  <si>
    <t>POL00082</t>
  </si>
  <si>
    <t>POL00160</t>
  </si>
  <si>
    <t>POL00178</t>
  </si>
  <si>
    <t>POL00072</t>
  </si>
  <si>
    <t>POL00083</t>
  </si>
  <si>
    <t>POL00203</t>
  </si>
  <si>
    <t>POL00192</t>
  </si>
  <si>
    <t>POL00075</t>
  </si>
  <si>
    <t>POL00139</t>
  </si>
  <si>
    <t>POL00113</t>
  </si>
  <si>
    <t>POL00037</t>
  </si>
  <si>
    <t>POL00078</t>
  </si>
  <si>
    <t>POL00222</t>
  </si>
  <si>
    <t>POL00076</t>
  </si>
  <si>
    <t>POL00077</t>
  </si>
  <si>
    <t>POL00154</t>
  </si>
  <si>
    <t>POL00095</t>
  </si>
  <si>
    <t>life</t>
  </si>
  <si>
    <t>approved</t>
  </si>
  <si>
    <t>POL00232</t>
  </si>
  <si>
    <t>POL00101</t>
  </si>
  <si>
    <t>POL00048</t>
  </si>
  <si>
    <t>POL00175</t>
  </si>
  <si>
    <t>POL00210</t>
  </si>
  <si>
    <t>POL00097</t>
  </si>
  <si>
    <t>POL00155</t>
  </si>
  <si>
    <t>POL00027</t>
  </si>
  <si>
    <t>POL00253</t>
  </si>
  <si>
    <t>POL00202</t>
  </si>
  <si>
    <t>POL00010</t>
  </si>
  <si>
    <t>POL00173</t>
  </si>
  <si>
    <t>POL00001</t>
  </si>
  <si>
    <t>POL00292</t>
  </si>
  <si>
    <t>POL00039</t>
  </si>
  <si>
    <t>POL00217</t>
  </si>
  <si>
    <t>POL00174</t>
  </si>
  <si>
    <t>POL00055</t>
  </si>
  <si>
    <t>POL00284</t>
  </si>
  <si>
    <t>POL00231</t>
  </si>
  <si>
    <t>POL00277</t>
  </si>
  <si>
    <t>POL00226</t>
  </si>
  <si>
    <t>POL00043</t>
  </si>
  <si>
    <t>POL00179</t>
  </si>
  <si>
    <t>POL00247</t>
  </si>
  <si>
    <t>POL00031</t>
  </si>
  <si>
    <t>motor</t>
  </si>
  <si>
    <t>POL00021</t>
  </si>
  <si>
    <t>POL00068</t>
  </si>
  <si>
    <t>POL00126</t>
  </si>
  <si>
    <t>POL00102</t>
  </si>
  <si>
    <t>POL00291</t>
  </si>
  <si>
    <t>POL00184</t>
  </si>
  <si>
    <t>POL00086</t>
  </si>
  <si>
    <t>POL00240</t>
  </si>
  <si>
    <t>POL00224</t>
  </si>
  <si>
    <t>POL00141</t>
  </si>
  <si>
    <t>POL00239</t>
  </si>
  <si>
    <t>POL00235</t>
  </si>
  <si>
    <t>POL00280</t>
  </si>
  <si>
    <t>POL00147</t>
  </si>
  <si>
    <t>POL00089</t>
  </si>
  <si>
    <t>POL00272</t>
  </si>
  <si>
    <t>POL00146</t>
  </si>
  <si>
    <t>POL00111</t>
  </si>
  <si>
    <t>NO CLAIM</t>
  </si>
  <si>
    <t>POL00004</t>
  </si>
  <si>
    <t>POL00093</t>
  </si>
  <si>
    <t>POL00044</t>
  </si>
  <si>
    <t>POL00270</t>
  </si>
  <si>
    <t>POL00241</t>
  </si>
  <si>
    <t>POL00003</t>
  </si>
  <si>
    <t>POL00191</t>
  </si>
  <si>
    <t>POL00161</t>
  </si>
  <si>
    <t>POL00227</t>
  </si>
  <si>
    <t>POL00283</t>
  </si>
  <si>
    <t>POL00286</t>
  </si>
  <si>
    <t>POL00172</t>
  </si>
  <si>
    <t>POL00252</t>
  </si>
  <si>
    <t>POL00182</t>
  </si>
  <si>
    <t>POL00133</t>
  </si>
  <si>
    <t>POL00158</t>
  </si>
  <si>
    <t>POL00149</t>
  </si>
  <si>
    <t>-</t>
  </si>
  <si>
    <t>POL00029</t>
  </si>
  <si>
    <t>POL00079</t>
  </si>
  <si>
    <t>POL00019</t>
  </si>
  <si>
    <t>POL00125</t>
  </si>
  <si>
    <t>POL00274</t>
  </si>
  <si>
    <t>POL00221</t>
  </si>
  <si>
    <t>POL00026</t>
  </si>
  <si>
    <t>POL00212</t>
  </si>
  <si>
    <t>POL00080</t>
  </si>
  <si>
    <t>POL00245</t>
  </si>
  <si>
    <t>POL00165</t>
  </si>
  <si>
    <t>POL00131</t>
  </si>
  <si>
    <t>POL00049</t>
  </si>
  <si>
    <t>POL00237</t>
  </si>
  <si>
    <t>no claim</t>
  </si>
  <si>
    <t>POL00050</t>
  </si>
  <si>
    <t>POL00047</t>
  </si>
  <si>
    <t>POL00246</t>
  </si>
  <si>
    <t>POL00008</t>
  </si>
  <si>
    <t>POL00002</t>
  </si>
  <si>
    <t>POL00211</t>
  </si>
  <si>
    <t>POL00216</t>
  </si>
  <si>
    <t>POL00096</t>
  </si>
  <si>
    <t>POL00073</t>
  </si>
  <si>
    <t>POL00118</t>
  </si>
  <si>
    <t>POL00214</t>
  </si>
  <si>
    <t>POL00064</t>
  </si>
  <si>
    <t>POL00188</t>
  </si>
  <si>
    <t>POL00137</t>
  </si>
  <si>
    <t>POL00228</t>
  </si>
  <si>
    <t>POL00218</t>
  </si>
  <si>
    <t>POL00273</t>
  </si>
  <si>
    <t>POL00106</t>
  </si>
  <si>
    <t>POL00116</t>
  </si>
  <si>
    <t>POL00121</t>
  </si>
  <si>
    <t>POL00056</t>
  </si>
  <si>
    <t>POL00150</t>
  </si>
  <si>
    <t>POL00197</t>
  </si>
  <si>
    <t>POL00140</t>
  </si>
  <si>
    <t>POL00012</t>
  </si>
  <si>
    <t>POL00006</t>
  </si>
  <si>
    <t>POL00242</t>
  </si>
  <si>
    <t>POL00148</t>
  </si>
  <si>
    <t>POL00023</t>
  </si>
  <si>
    <t>POL00046</t>
  </si>
  <si>
    <t>POL00278</t>
  </si>
  <si>
    <t>POL00094</t>
  </si>
  <si>
    <t>POL00129</t>
  </si>
  <si>
    <t>POL00071</t>
  </si>
  <si>
    <t>POL00063</t>
  </si>
  <si>
    <t>POL00183</t>
  </si>
  <si>
    <t>POL00194</t>
  </si>
  <si>
    <t>POL00033</t>
  </si>
  <si>
    <t>POL00164</t>
  </si>
  <si>
    <t>POL00120</t>
  </si>
  <si>
    <t>POL00090</t>
  </si>
  <si>
    <t>POL00209</t>
  </si>
  <si>
    <t>POL00028</t>
  </si>
  <si>
    <t>POL00181</t>
  </si>
  <si>
    <t>POL00005</t>
  </si>
  <si>
    <t>POL00250</t>
  </si>
  <si>
    <t>POL00035</t>
  </si>
  <si>
    <t>POL00205</t>
  </si>
  <si>
    <t>POL00036</t>
  </si>
  <si>
    <t>POL00285</t>
  </si>
  <si>
    <t>POL00084</t>
  </si>
  <si>
    <t>POL00152</t>
  </si>
  <si>
    <t>POL00264</t>
  </si>
  <si>
    <t>POL00122</t>
  </si>
  <si>
    <t>POL00132</t>
  </si>
  <si>
    <t>POL00053</t>
  </si>
  <si>
    <t>POL00085</t>
  </si>
  <si>
    <t>POL00104</t>
  </si>
  <si>
    <t>POL00187</t>
  </si>
  <si>
    <t>POL00268</t>
  </si>
  <si>
    <t>POL00162</t>
  </si>
  <si>
    <t>POL00255</t>
  </si>
  <si>
    <t>POL00266</t>
  </si>
  <si>
    <t>POL00065</t>
  </si>
  <si>
    <t>POL00225</t>
  </si>
  <si>
    <t>POL00251</t>
  </si>
  <si>
    <t>POL00014</t>
  </si>
  <si>
    <t>POL00171</t>
  </si>
  <si>
    <t>POL00051</t>
  </si>
  <si>
    <t>POL00070</t>
  </si>
  <si>
    <t>POL00193</t>
  </si>
  <si>
    <t>POL00034</t>
  </si>
  <si>
    <t>POL00038</t>
  </si>
  <si>
    <t>POL00236</t>
  </si>
  <si>
    <t>TRAVEL</t>
  </si>
  <si>
    <t>POL00138</t>
  </si>
  <si>
    <t>POL00195</t>
  </si>
  <si>
    <t>POL00067</t>
  </si>
  <si>
    <t>POL00159</t>
  </si>
  <si>
    <t>POL00009</t>
  </si>
  <si>
    <t>POL00015</t>
  </si>
  <si>
    <t>POL00115</t>
  </si>
  <si>
    <t>POL00060</t>
  </si>
  <si>
    <t>POL00275</t>
  </si>
  <si>
    <t>POL00189</t>
  </si>
  <si>
    <t>POL00208</t>
  </si>
  <si>
    <t>POL00259</t>
  </si>
  <si>
    <t>POL00200</t>
  </si>
  <si>
    <t>POL00109</t>
  </si>
  <si>
    <t>POL00134</t>
  </si>
  <si>
    <t>POL00190</t>
  </si>
  <si>
    <t>POL00123</t>
  </si>
  <si>
    <t>POL00282</t>
  </si>
  <si>
    <t>POL00069</t>
  </si>
  <si>
    <t>POL00201</t>
  </si>
  <si>
    <t>POL00144</t>
  </si>
  <si>
    <t>POL00198</t>
  </si>
  <si>
    <t>POL00143</t>
  </si>
  <si>
    <t>POL00058</t>
  </si>
  <si>
    <t>POL00062</t>
  </si>
  <si>
    <t>POL00119</t>
  </si>
  <si>
    <t>POL00061</t>
  </si>
  <si>
    <t>POL00057</t>
  </si>
  <si>
    <t>POL00170</t>
  </si>
  <si>
    <t>POL00022</t>
  </si>
  <si>
    <t>health</t>
  </si>
  <si>
    <t>POL00042</t>
  </si>
  <si>
    <t>POL00100</t>
  </si>
  <si>
    <t>POL00016</t>
  </si>
  <si>
    <t>POL00099</t>
  </si>
  <si>
    <t>POL00244</t>
  </si>
  <si>
    <t>POL00151</t>
  </si>
  <si>
    <t>POL00207</t>
  </si>
  <si>
    <t>POL00103</t>
  </si>
  <si>
    <t>POL00024</t>
  </si>
  <si>
    <t>POL00045</t>
  </si>
  <si>
    <t>POL00176</t>
  </si>
  <si>
    <t>POL00185</t>
  </si>
  <si>
    <t>APPROVED</t>
  </si>
  <si>
    <t>POL00279</t>
  </si>
  <si>
    <t>POL00177</t>
  </si>
  <si>
    <t>POL00157</t>
  </si>
  <si>
    <t>POL00041</t>
  </si>
  <si>
    <t>POL00262</t>
  </si>
  <si>
    <t>POL00186</t>
  </si>
  <si>
    <t>POL00030</t>
  </si>
  <si>
    <t>POL00163</t>
  </si>
  <si>
    <t>POL00142</t>
  </si>
  <si>
    <t>POL00249</t>
  </si>
  <si>
    <t>POL00105</t>
  </si>
  <si>
    <t>POL00243</t>
  </si>
  <si>
    <t>POL00011</t>
  </si>
  <si>
    <t>POL00166</t>
  </si>
  <si>
    <t>POL00153</t>
  </si>
  <si>
    <t>POL00269</t>
  </si>
  <si>
    <t>POL00230</t>
  </si>
  <si>
    <t>POL00091</t>
  </si>
  <si>
    <t>POL00092</t>
  </si>
  <si>
    <t>POL00289</t>
  </si>
  <si>
    <t>POL00007</t>
  </si>
  <si>
    <t>POL00017</t>
  </si>
  <si>
    <t>POL00087</t>
  </si>
  <si>
    <t>POL00257</t>
  </si>
  <si>
    <t>POL00052</t>
  </si>
  <si>
    <t>POL00054</t>
  </si>
  <si>
    <t>POL00288</t>
  </si>
  <si>
    <t>POL00135</t>
  </si>
  <si>
    <t>POL00204</t>
  </si>
  <si>
    <t>POL00287</t>
  </si>
  <si>
    <t>POL00032</t>
  </si>
  <si>
    <t>POL00271</t>
  </si>
  <si>
    <t>POL00074</t>
  </si>
  <si>
    <t>POL00156</t>
  </si>
  <si>
    <t>POL00025</t>
  </si>
  <si>
    <t>POL00256</t>
  </si>
  <si>
    <t>POL00196</t>
  </si>
  <si>
    <t>POL00233</t>
  </si>
  <si>
    <t>POL00254</t>
  </si>
  <si>
    <t>POL00169</t>
  </si>
  <si>
    <t>POL00260</t>
  </si>
  <si>
    <t>POL00130</t>
  </si>
  <si>
    <t>POL00107</t>
  </si>
  <si>
    <t>POL00199</t>
  </si>
  <si>
    <t>POL00258</t>
  </si>
  <si>
    <t>POL00136</t>
  </si>
  <si>
    <t>POL00234</t>
  </si>
  <si>
    <t>CLEAN DATA - Standardized, De-duplicated, Missing Values Handled (see Cleaning_Log sheet)</t>
  </si>
  <si>
    <t>Row_No</t>
  </si>
  <si>
    <t>Data_Quality_Notes</t>
  </si>
  <si>
    <t>Policy_Year</t>
  </si>
  <si>
    <t>Policy_Month</t>
  </si>
  <si>
    <t>Age_Group</t>
  </si>
  <si>
    <t>Claim_Ratio</t>
  </si>
  <si>
    <t>Priority_Flag</t>
  </si>
  <si>
    <t>Policy_ID_Prefix</t>
  </si>
  <si>
    <t>Type_Upper</t>
  </si>
  <si>
    <t>Days_Open</t>
  </si>
  <si>
    <t>Date imputed</t>
  </si>
  <si>
    <t>Claim amount imputed</t>
  </si>
  <si>
    <t>OK</t>
  </si>
  <si>
    <t>Age imputed</t>
  </si>
  <si>
    <t>Premium imputed</t>
  </si>
  <si>
    <t>Claim_Status imputed</t>
  </si>
  <si>
    <t>Policy_Type imputed</t>
  </si>
  <si>
    <t>Claim amount imputed; Date imputed</t>
  </si>
  <si>
    <t>Policy_Type imputed; Claim_Status imputed</t>
  </si>
  <si>
    <t>DATA CLEANING LOG - What was found, what changed, and why</t>
  </si>
  <si>
    <t>Original records: 300      Final clean records: 278      Records removed: 22</t>
  </si>
  <si>
    <t>Field</t>
  </si>
  <si>
    <t>Issue Found</t>
  </si>
  <si>
    <t>Records Affected</t>
  </si>
  <si>
    <t>Action Taken</t>
  </si>
  <si>
    <t>Missing (blank) values</t>
  </si>
  <si>
    <t>Row deleted - Policy_ID is the unique primary key and cannot be reliably reconstructed</t>
  </si>
  <si>
    <t>All fields</t>
  </si>
  <si>
    <t>Fully duplicated records (same ID + all values)</t>
  </si>
  <si>
    <t>Duplicate rows removed, first occurrence kept</t>
  </si>
  <si>
    <t>Policy_ID / Premium</t>
  </si>
  <si>
    <t>Same Policy_ID repeated with one row showing an invalid negative premium</t>
  </si>
  <si>
    <t>Row with the invalid negative premium removed, valid row kept</t>
  </si>
  <si>
    <t>Inconsistent text case (e.g. "motor", "TRAVEL")</t>
  </si>
  <si>
    <t>Standardized to Title Case</t>
  </si>
  <si>
    <t>Missing values</t>
  </si>
  <si>
    <t>Replaced with the most common category ("Health"), flagged</t>
  </si>
  <si>
    <t>Inconsistent text case (e.g. "approved", "NO CLAIM")</t>
  </si>
  <si>
    <t>Replaced with "Unknown" (outcome cannot be assumed), flagged</t>
  </si>
  <si>
    <t>Text value "Unknown"</t>
  </si>
  <si>
    <t>Converted to missing, then imputed</t>
  </si>
  <si>
    <t>Impossible values (&lt;18 or &gt;100, e.g. 10 and 124)</t>
  </si>
  <si>
    <t>Missing values (blank + invalid, total)</t>
  </si>
  <si>
    <t>Replaced with the average age for that Policy_Type (falls back to overall average)</t>
  </si>
  <si>
    <t>Negative values (impossible)</t>
  </si>
  <si>
    <t>Replaced with the average premium for that Policy_Type</t>
  </si>
  <si>
    <t>Literal text "-"</t>
  </si>
  <si>
    <t>Converted to missing, then handled with the rules below</t>
  </si>
  <si>
    <t>Negative value (e.g. -10, impossible)</t>
  </si>
  <si>
    <t>Missing where Claim_Status = "No Claim"</t>
  </si>
  <si>
    <t>Replaced with 0 (no claim was filed)</t>
  </si>
  <si>
    <t>Missing where a claim was actually filed</t>
  </si>
  <si>
    <t>Replaced with the average claim amount for that Policy_Type</t>
  </si>
  <si>
    <t>Replaced with the dataset median date (2025-10-09); flagged so date-trend charts can be checked</t>
  </si>
  <si>
    <t>DATA ANALYSIS - Formulas &amp; Calculations</t>
  </si>
  <si>
    <t>Part D.1 - Basic Calculations (SUM, AVERAGE, COUNT, MIN, MAX)</t>
  </si>
  <si>
    <t>Metric</t>
  </si>
  <si>
    <t>Premium ($)</t>
  </si>
  <si>
    <t>Claim Amount ($)</t>
  </si>
  <si>
    <t>Total (SUM)</t>
  </si>
  <si>
    <t>Average (AVERAGE)</t>
  </si>
  <si>
    <t>Count (COUNT)</t>
  </si>
  <si>
    <t>Minimum (MIN)</t>
  </si>
  <si>
    <t>Maximum (MAX)</t>
  </si>
  <si>
    <t>Part D.2 - Conditional Functions (COUNTIF, SUMIF, AVERAGEIF, SUMIFS) by Policy Type</t>
  </si>
  <si>
    <t>Policy Type</t>
  </si>
  <si>
    <t>Policy Count (COUNTIF)</t>
  </si>
  <si>
    <t>Total Premium (SUMIF)</t>
  </si>
  <si>
    <t>Avg Claim Amount (AVERAGEIF)</t>
  </si>
  <si>
    <t>Approved Claims Total (SUMIFS)</t>
  </si>
  <si>
    <t>TOTAL</t>
  </si>
  <si>
    <t>Part D.3 - Logical Functions (IF, IFS, AND, OR)</t>
  </si>
  <si>
    <t>Every record in Clean_Data has an Age_Group (IFS), Priority_Flag (IF + AND + OR), and Claim_Ratio (IF) column.</t>
  </si>
  <si>
    <t>Priority Flag</t>
  </si>
  <si>
    <t>Number of Records (COUNTIF)</t>
  </si>
  <si>
    <t>High-Value Approved</t>
  </si>
  <si>
    <t>Needs Review</t>
  </si>
  <si>
    <t>Normal</t>
  </si>
  <si>
    <t>Part E - Date Analysis</t>
  </si>
  <si>
    <t>Today's Date (TODAY)</t>
  </si>
  <si>
    <t>Current Timestamp (NOW)</t>
  </si>
  <si>
    <t>Earliest Policy Date (MIN)</t>
  </si>
  <si>
    <t>Latest Policy Date (MAX)</t>
  </si>
  <si>
    <t>Policies Written in 2025 (YEAR)</t>
  </si>
  <si>
    <t>Policies Written in 2026 (YEAR)</t>
  </si>
  <si>
    <t>Avg Working Days Open (NETWORKDAYS)</t>
  </si>
  <si>
    <t>Part C - Text Functions (LEFT, UPPER, TRIM, LEN, CONCAT)</t>
  </si>
  <si>
    <t>Example</t>
  </si>
  <si>
    <t>Formula Used</t>
  </si>
  <si>
    <t>Result</t>
  </si>
  <si>
    <t>Policy ID prefix (first 3 letters)</t>
  </si>
  <si>
    <t>LEFT([Policy_ID],3)</t>
  </si>
  <si>
    <t>Policy Type in uppercase</t>
  </si>
  <si>
    <t>UPPER([Policy_Type])</t>
  </si>
  <si>
    <t>Trimmed claim status (removes extra spaces)</t>
  </si>
  <si>
    <t>TRIM([Claim_Status])</t>
  </si>
  <si>
    <t>Combined ID and Type (CONCAT)</t>
  </si>
  <si>
    <t>CONCAT([Policy_ID]," - ",[Policy_Type])</t>
  </si>
  <si>
    <t>Note: These text functions are also applied to every row of Clean_Data (Policy_ID_Prefix, Type_Upper columns).</t>
  </si>
  <si>
    <t>Part E - Sorting &amp; Filtering</t>
  </si>
  <si>
    <t>Example: Top 10 Highest Claims (Sorted Largest -&gt; Smallest, via LARGE)</t>
  </si>
  <si>
    <t>Rank</t>
  </si>
  <si>
    <t>Policy ID</t>
  </si>
  <si>
    <t>PIVOT SUMMARY TABLES (formula-driven; source data for all dashboard charts)</t>
  </si>
  <si>
    <t>Table 1: Policy Type Summary  (Rows: Policy Type | Values: Count, Total Premium, Total Claims, Avg Premium, Avg Claim)</t>
  </si>
  <si>
    <t>Policy Count</t>
  </si>
  <si>
    <t>Total Premium ($)</t>
  </si>
  <si>
    <t>Total Claims ($)</t>
  </si>
  <si>
    <t>Avg Premium ($)</t>
  </si>
  <si>
    <t>Avg Claim ($)</t>
  </si>
  <si>
    <t>Table 2: Claim Status Summary  (Rows: Claim Status | Values: Count, % of Total, Total Claim Amount)</t>
  </si>
  <si>
    <t>Claim Status</t>
  </si>
  <si>
    <t>Count</t>
  </si>
  <si>
    <t>% of Total</t>
  </si>
  <si>
    <t>Total Claim Amount ($)</t>
  </si>
  <si>
    <t>Table 3: Policy Type x Claim Status Cross-Tab  (Rows: Policy Type | Columns: Claim Status | Values: Count)</t>
  </si>
  <si>
    <t>Total</t>
  </si>
  <si>
    <t>Table 4: Monthly Trend  (Rows: Policy Month | Values: Policy Count, Total Premium)</t>
  </si>
  <si>
    <t>Policy Month</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</si>
  <si>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</si>
  <si>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</si>
  <si>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</si>
  <si>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</si>
  <si>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</si>
  <si>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</si>
  <si>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</si>
  <si>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</si>
  <si>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</si>
  <si>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</si>
  <si>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</si>
  <si>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</si>
  <si>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</si>
  <si>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</si>
  <si>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</si>
  <si>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</si>
  <si>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</si>
  <si>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Jun-2026</t>
  </si>
  <si>
    <t>Jul-2026</t>
  </si>
  <si>
    <t>Table 5: Age Group Summary  (Rows: Age Group | Values: Count, Avg Premium, Avg Claim)</t>
  </si>
  <si>
    <t>Age Group</t>
  </si>
  <si>
    <t>Young (18-24)</t>
  </si>
  <si>
    <t>Adult (25-40)</t>
  </si>
  <si>
    <t>Mid-Age (41-60)</t>
  </si>
  <si>
    <t>Senior (60+)</t>
  </si>
  <si>
    <t>DASHBOARD 1 - CLAIMS &amp; FINANCIAL PERFORMANCE</t>
  </si>
  <si>
    <t>INTERACTIVE FILTERS  (change a dropdown - every KPI, table and chart below updates)</t>
  </si>
  <si>
    <t>Policy Type:</t>
  </si>
  <si>
    <t>All</t>
  </si>
  <si>
    <t>Claim Status:</t>
  </si>
  <si>
    <t>Age Group:</t>
  </si>
  <si>
    <t>KEY PERFORMANCE INDICATORS</t>
  </si>
  <si>
    <t>TOTAL PREMIUM COLLECTED</t>
  </si>
  <si>
    <t>TOTAL CLAIM AMOUNT</t>
  </si>
  <si>
    <t>NUMBER OF POLICIES</t>
  </si>
  <si>
    <t>CLAIM APPROVAL RATE</t>
  </si>
  <si>
    <t>CHART DATA TABLES (auto-updates with filters above)</t>
  </si>
  <si>
    <t>By Policy Type</t>
  </si>
  <si>
    <t>Category</t>
  </si>
  <si>
    <t>By Claim Status</t>
  </si>
  <si>
    <t>Total Claim ($)</t>
  </si>
  <si>
    <t>DASHBOARD 2 - POLICYHOLDER PROFILE &amp; RISK</t>
  </si>
  <si>
    <t>AVERAGE PREMIUM</t>
  </si>
  <si>
    <t>AVERAGE CLAIM AMOUNT</t>
  </si>
  <si>
    <t>AVERAGE CUSTOMER AGE</t>
  </si>
  <si>
    <t>AVG WORKING DAYS OPEN</t>
  </si>
  <si>
    <t>By Age Group</t>
  </si>
  <si>
    <t>FINDINGS &amp; RECOMMENDATIONS</t>
  </si>
  <si>
    <t>KEY FINDINGS</t>
  </si>
  <si>
    <t>1.</t>
  </si>
  <si>
    <t>Property is the highest-value segment per policy. It carries the highest average premium ($443.55) and the highest average claim ($1,502.69) of all five product lines, even though Health has more policies overall (95 vs 46).</t>
  </si>
  <si>
    <t>2.</t>
  </si>
  <si>
    <t>Only 41.9% of filed claims are approved. Of the 148 policies where a claim was actually filed (excluding "No Claim"), just 62 were Approved - the remaining 86 are Pending, Rejected, or have an unrecorded outcome.</t>
  </si>
  <si>
    <t>3.</t>
  </si>
  <si>
    <t>Approved claim payouts exceed premium income. Total premium collected across the portfolio is $95,982, but total approved claim payouts alone are $128,634 - a loss ratio of roughly 134% on this dataset, before administrative costs.</t>
  </si>
  <si>
    <t>4.</t>
  </si>
  <si>
    <t>Claim severity rises with policyholder age. Senior policyholders (60+) file the largest average claim ($1,295.59), almost 60% higher than Young policyholders 18-24 ($817.68).</t>
  </si>
  <si>
    <t>5.</t>
  </si>
  <si>
    <t>Travel is a minor, low-risk product line. It accounts for only 20 of 278 policies (7%) and has by far the lowest average premium ($106.30) and average claim ($401.90) of any category.</t>
  </si>
  <si>
    <t>6.</t>
  </si>
  <si>
    <t>October 2025 was an outlier month, with 29 new policies and $9,733 in premium written - roughly double a typical month - while the rest of the 19-month window shows no single clear seasonal pattern.</t>
  </si>
  <si>
    <t>RECOMMENDATIONS</t>
  </si>
  <si>
    <t>Review Property and Life pricing and underwriting. Their average claim sizes are the highest in the book relative to premium; a targeted premium adjustment or tighter underwriting criteria would help close the gap seen in Finding 1 and 3.</t>
  </si>
  <si>
    <t>Clear the claims backlog. 40 Pending and 16 Unknown-status claims (20% of all records) should be actively worked and resolved so the true approval rate and loss ratio can be measured accurately.</t>
  </si>
  <si>
    <t>Introduce age-adjusted risk pricing for Senior policyholders, and improve data capture at the point of sale (Policy ID, Premium, and Claim Amount fields) to reduce the volume of missing and invalid values seen during cleaning (22 records were unusable in the raw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</si>
</sst>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
    <numFmt numFmtId="166" formatCode="dd\-mmm\-yyyy\ hh:mm"/>
    <numFmt numFmtId="167" formatCode="\$#,##0"/>
    <numFmt numFmtId="168" formatCode="0.0%"/>
    <numFmt numFmtId="169" formatCode="0.0"/>
  </numFmts>
  <fonts count="24" x14ac:knownFonts="1">
    <font>
      <sz val="11"/>
      <color theme="1"/>
      <name val="Calibri"/>
      <family val="2"/>
      <charset val="1"/>
    </font>
    <font>
      <b/>
      <sz val="13"/>
      <color rgb="FFC62828"/>
      <name val="Arial"/>
      <charset val="1"/>
    </font>
    <font>
      <b/>
      <sz val="11"/>
      <color rgb="FFFFFFFF"/>
      <name val="Arial"/>
      <charset val="1"/>
    </font>
    <font>
      <b/>
      <sz val="13"/>
      <color rgb="FF1F3864"/>
      <name val="Arial"/>
      <charset val="1"/>
    </font>
    <font>
      <i/>
      <sz val="10"/>
      <name val="Arial"/>
      <charset val="1"/>
    </font>
    <font>
      <sz val="10"/>
      <name val="Arial"/>
      <charset val="1"/>
    </font>
    <font>
      <b/>
      <sz val="16"/>
      <color rgb="FF1F3864"/>
      <name val="Arial"/>
      <charset val="1"/>
    </font>
    <font>
      <sz val="11"/>
      <name val="Arial"/>
      <charset val="1"/>
    </font>
    <font>
      <b/>
      <sz val="11"/>
      <name val="Arial"/>
      <charset val="1"/>
    </font>
    <font>
      <b/>
      <sz val="11"/>
      <name val="Cambria"/>
      <charset val="1"/>
    </font>
    <font>
      <i/>
      <sz val="9"/>
      <name val="Arial"/>
      <charset val="1"/>
    </font>
    <font>
      <b/>
      <sz val="15"/>
      <color rgb="FF1F3864"/>
      <name val="Arial"/>
      <charset val="1"/>
    </font>
    <font>
      <i/>
      <sz val="9"/>
      <color rgb="FF555555"/>
      <name val="Arial"/>
      <charset val="1"/>
    </font>
    <font>
      <b/>
      <sz val="18"/>
      <color rgb="FF1F3864"/>
      <name val="Arial"/>
      <charset val="1"/>
    </font>
    <font>
      <b/>
      <sz val="10"/>
      <color rgb="FF1F3864"/>
      <name val="Arial"/>
      <charset val="1"/>
    </font>
    <font>
      <b/>
      <sz val="10"/>
      <color rgb="FFFFFFFF"/>
      <name val="Arial"/>
      <charset val="1"/>
    </font>
    <font>
      <b/>
      <sz val="11"/>
      <color rgb="FF1F3864"/>
      <name val="Arial"/>
      <charset val="1"/>
    </font>
    <font>
      <b/>
      <sz val="20"/>
      <color rgb="FF1F3864"/>
      <name val="Arial"/>
      <charset val="1"/>
    </font>
    <font>
      <b/>
      <i/>
      <sz val="10"/>
      <color rgb="FF777777"/>
      <name val="Arial"/>
      <charset val="1"/>
    </font>
    <font>
      <b/>
      <sz val="10"/>
      <color rgb="FF2E5395"/>
      <name val="Arial"/>
      <charset val="1"/>
    </font>
    <font>
      <b/>
      <sz val="9"/>
      <name val="Arial"/>
      <charset val="1"/>
    </font>
    <font>
      <sz val="9"/>
      <name val="Arial"/>
      <charset val="1"/>
    </font>
    <font>
      <b/>
      <sz val="13"/>
      <color rgb="FFFFFFFF"/>
      <name val="Arial"/>
      <charset val="1"/>
    </font>
    <font>
      <b/>
      <sz val="11"/>
      <color rgb="FF2E5395"/>
      <name val="Arial"/>
      <charset val="1"/>
    </font>
  </fonts>
  <fills count="11">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BF8F00"/>
        <bgColor rgb="FF808000"/>
      </patternFill>
    </fill>
    <fill>
      <patternFill patternType="solid">
        <fgColor rgb="FF1F7A6C"/>
        <bgColor rgb="FF008080"/>
      </patternFill>
    </fill>
    <fill>
      <patternFill patternType="solid">
        <fgColor rgb="FF7030A0"/>
        <bgColor rgb="FF800080"/>
      </patternFill>
    </fill>
    <fill>
      <patternFill patternType="solid">
        <fgColor rgb="FFDCE6F1"/>
        <bgColor rgb="FFE2EFDA"/>
      </patternFill>
    </fill>
    <fill>
      <patternFill patternType="solid">
        <fgColor rgb="FFE2EFDA"/>
        <bgColor rgb="FFDCE6F1"/>
      </patternFill>
    </fill>
    <fill>
      <patternFill patternType="solid">
        <fgColor rgb="FFFFFFFF"/>
        <bgColor rgb="FFFFF2CC"/>
      </patternFill>
    </fill>
    <fill>
      <patternFill patternType="solid">
        <fgColor rgb="FFFFF2CC"/>
        <bgColor rgb="FFE2EFDA"/>
      </patternFill>
    </fill>
  </fills>
  <borders count="2">
    <border>
      <left/>
      <right/>
      <top/>
      <bottom/>
      <diagonal/>
    </border>
    <border>
      <left style="thin">
        <color rgb="FFB7C6E0"/>
      </left>
      <right style="thin">
        <color rgb="FFB7C6E0"/>
      </right>
      <top style="thin">
        <color rgb="FFB7C6E0"/>
      </top>
      <bottom style="thin">
        <color rgb="FFB7C6E0"/>
      </bottom>
      <diagonal/>
    </border>
  </borders>
  <cellStyleXfs count="1">
    <xf numFmtId="0" fontId="0" fillId="0" borderId="0"/>
  </cellStyleXfs>
  <cellXfs count="52">
    <xf numFmtId="0" fontId="0" fillId="0" borderId="0" xfId="0"/>
    <xf numFmtId="0" fontId="3" fillId="0" borderId="0" xfId="0" applyFont="1"/>
    <xf numFmtId="0" fontId="2" fillId="2" borderId="0" xfId="0" applyFont="1" applyFill="1" applyAlignment="1">
      <alignment horizontal="center"/>
    </xf>
    <xf numFmtId="164" fontId="0" fillId="0" borderId="0" xfId="0" applyNumberFormat="1"/>
    <xf numFmtId="4" fontId="0" fillId="0" borderId="0" xfId="0" applyNumberFormat="1"/>
    <xf numFmtId="0" fontId="2" fillId="3" borderId="0" xfId="0" applyFont="1" applyFill="1" applyAlignment="1">
      <alignment horizontal="center" wrapText="1"/>
    </xf>
    <xf numFmtId="1" fontId="0" fillId="0" borderId="0" xfId="0" applyNumberFormat="1"/>
    <xf numFmtId="165" fontId="0" fillId="0" borderId="0" xfId="0" applyNumberFormat="1"/>
    <xf numFmtId="2" fontId="0" fillId="0" borderId="0" xfId="0" applyNumberFormat="1"/>
    <xf numFmtId="0" fontId="2" fillId="2" borderId="0" xfId="0" applyFont="1" applyFill="1" applyAlignment="1">
      <alignment horizontal="center" wrapText="1"/>
    </xf>
    <xf numFmtId="0" fontId="5" fillId="0" borderId="0" xfId="0" applyFont="1" applyAlignment="1">
      <alignment vertical="top" wrapText="1"/>
    </xf>
    <xf numFmtId="0" fontId="7" fillId="0" borderId="0" xfId="0" applyFont="1"/>
    <xf numFmtId="0" fontId="8" fillId="0" borderId="0" xfId="0" applyFont="1"/>
    <xf numFmtId="0" fontId="9" fillId="0" borderId="0" xfId="0" applyFont="1"/>
    <xf numFmtId="165" fontId="9" fillId="0" borderId="0" xfId="0" applyNumberFormat="1" applyFont="1"/>
    <xf numFmtId="166" fontId="0" fillId="0" borderId="0" xfId="0" applyNumberFormat="1"/>
    <xf numFmtId="0" fontId="10" fillId="0" borderId="0" xfId="0" applyFont="1"/>
    <xf numFmtId="167" fontId="0" fillId="0" borderId="0" xfId="0" applyNumberFormat="1"/>
    <xf numFmtId="168" fontId="0" fillId="0" borderId="0" xfId="0" applyNumberFormat="1"/>
    <xf numFmtId="0" fontId="14" fillId="0" borderId="0" xfId="0" applyFont="1"/>
    <xf numFmtId="0" fontId="15" fillId="4" borderId="0" xfId="0" applyFont="1" applyFill="1" applyAlignment="1">
      <alignment horizontal="center"/>
    </xf>
    <xf numFmtId="0" fontId="19" fillId="0" borderId="0" xfId="0" applyFont="1"/>
    <xf numFmtId="0" fontId="20" fillId="0" borderId="0" xfId="0" applyFont="1"/>
    <xf numFmtId="0" fontId="21" fillId="0" borderId="0" xfId="0" applyFont="1"/>
    <xf numFmtId="0" fontId="23" fillId="0" borderId="0" xfId="0" applyFont="1"/>
    <xf numFmtId="0" fontId="7" fillId="8" borderId="0" xfId="0" applyFont="1" applyFill="1" applyAlignment="1">
      <alignment vertical="top" wrapText="1"/>
    </xf>
    <xf numFmtId="0" fontId="7" fillId="9" borderId="0" xfId="0" applyFont="1" applyFill="1" applyAlignment="1">
      <alignment vertical="top" wrapText="1"/>
    </xf>
    <xf numFmtId="0" fontId="7" fillId="10" borderId="0" xfId="0" applyFont="1" applyFill="1" applyAlignment="1">
      <alignment vertical="top" wrapText="1"/>
    </xf>
    <xf numFmtId="0" fontId="11" fillId="0" borderId="0" xfId="0" applyFont="1"/>
    <xf numFmtId="0" fontId="10" fillId="0" borderId="0" xfId="0" applyFont="1" applyAlignment="1">
      <alignment wrapText="1"/>
    </xf>
    <xf numFmtId="0" fontId="12" fillId="0" borderId="0" xfId="0" applyFont="1" applyAlignment="1">
      <alignment wrapText="1"/>
    </xf>
    <xf numFmtId="0" fontId="1" fillId="0" borderId="0" xfId="0" applyFont="1"/>
    <xf numFmtId="0" fontId="3" fillId="0" borderId="0" xfId="0" applyFont="1"/>
    <xf numFmtId="0" fontId="4" fillId="0" borderId="0" xfId="0" applyFont="1"/>
    <xf numFmtId="0" fontId="6" fillId="0" borderId="0" xfId="0" applyFont="1"/>
    <xf numFmtId="0" fontId="10" fillId="0" borderId="0" xfId="0" applyFont="1"/>
    <xf numFmtId="0" fontId="4" fillId="0" borderId="0" xfId="0" applyFont="1" applyAlignment="1">
      <alignment wrapText="1"/>
    </xf>
    <xf numFmtId="0" fontId="13" fillId="0" borderId="0" xfId="0" applyFont="1"/>
    <xf numFmtId="0" fontId="2" fillId="2" borderId="0" xfId="0" applyFont="1" applyFill="1"/>
    <xf numFmtId="0" fontId="16" fillId="0" borderId="0" xfId="0" applyFont="1"/>
    <xf numFmtId="0" fontId="15"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5" fillId="4" borderId="1" xfId="0" applyFont="1" applyFill="1" applyBorder="1" applyAlignment="1">
      <alignment horizontal="center" vertical="center"/>
    </xf>
    <xf numFmtId="0" fontId="15" fillId="6" borderId="1" xfId="0" applyFont="1" applyFill="1" applyBorder="1" applyAlignment="1">
      <alignment horizontal="center" vertical="center"/>
    </xf>
    <xf numFmtId="167" fontId="17" fillId="7" borderId="1" xfId="0" applyNumberFormat="1" applyFont="1" applyFill="1" applyBorder="1" applyAlignment="1">
      <alignment horizontal="center" vertical="center"/>
    </xf>
    <xf numFmtId="3" fontId="17" fillId="7" borderId="1" xfId="0" applyNumberFormat="1" applyFont="1" applyFill="1" applyBorder="1" applyAlignment="1">
      <alignment horizontal="center" vertical="center"/>
    </xf>
    <xf numFmtId="168" fontId="17" fillId="7" borderId="1" xfId="0" applyNumberFormat="1" applyFont="1" applyFill="1" applyBorder="1" applyAlignment="1">
      <alignment horizontal="center" vertical="center"/>
    </xf>
    <xf numFmtId="0" fontId="18" fillId="0" borderId="0" xfId="0" applyFont="1"/>
    <xf numFmtId="165" fontId="17" fillId="7" borderId="1" xfId="0" applyNumberFormat="1" applyFont="1" applyFill="1" applyBorder="1" applyAlignment="1">
      <alignment horizontal="center" vertical="center"/>
    </xf>
    <xf numFmtId="169" fontId="17" fillId="7" borderId="1" xfId="0" applyNumberFormat="1" applyFont="1" applyFill="1" applyBorder="1" applyAlignment="1">
      <alignment horizontal="center" vertical="center"/>
    </xf>
    <xf numFmtId="1" fontId="17" fillId="7" borderId="1" xfId="0" applyNumberFormat="1" applyFont="1" applyFill="1" applyBorder="1" applyAlignment="1">
      <alignment horizontal="center" vertical="center"/>
    </xf>
    <xf numFmtId="0" fontId="22" fillId="2" borderId="0" xfId="0" applyFont="1" applyFill="1"/>
  </cellXfs>
  <cellStyles count="1">
    <cellStyle name="Normal" xfId="0" builtinId="0"/>
  </cellStyles>
  <dxfs count="2">
    <dxf>
      <font>
        <b/>
        <color rgb="FF006100"/>
      </font>
      <fill>
        <patternFill>
          <bgColor rgb="FFC6EF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F7A6C"/>
      <rgbColor rgb="FFB7C6E0"/>
      <rgbColor rgb="FF777777"/>
      <rgbColor rgb="FF8EA9DB"/>
      <rgbColor rgb="FF7030A0"/>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1"/>
      <rgbColor rgb="FFC6EFCE"/>
      <rgbColor rgb="FFFFFF99"/>
      <rgbColor rgb="FFB3B3B3"/>
      <rgbColor rgb="FFFF99CC"/>
      <rgbColor rgb="FFCC99FF"/>
      <rgbColor rgb="FFFFC7CE"/>
      <rgbColor rgb="FF4F81BD"/>
      <rgbColor rgb="FF4BACC6"/>
      <rgbColor rgb="FF9BBB59"/>
      <rgbColor rgb="FFFFCC00"/>
      <rgbColor rgb="FFBF8F00"/>
      <rgbColor rgb="FFFF6600"/>
      <rgbColor rgb="FF8064A2"/>
      <rgbColor rgb="FFA6A6A6"/>
      <rgbColor rgb="FF1F3864"/>
      <rgbColor rgb="FF339966"/>
      <rgbColor rgb="FF003300"/>
      <rgbColor rgb="FF333300"/>
      <rgbColor rgb="FFC62828"/>
      <rgbColor rgb="FFC0504D"/>
      <rgbColor rgb="FF2E5395"/>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Policy Count By Policy Type</a:t>
            </a:r>
          </a:p>
        </c:rich>
      </c:tx>
      <c:overlay val="0"/>
      <c:spPr>
        <a:noFill/>
        <a:ln w="0">
          <a:noFill/>
        </a:ln>
      </c:spPr>
    </c:title>
    <c:autoTitleDeleted val="0"/>
    <c:plotArea>
      <c:layout/>
      <c:barChart>
        <c:barDir val="col"/>
        <c:grouping val="clustered"/>
        <c:varyColors val="0"/>
        <c:ser>
          <c:idx val="0"/>
          <c:order val="0"/>
          <c:tx>
            <c:strRef>
              <c:f>Dashboard_Claims!$B$15</c:f>
              <c:strCache>
                <c:ptCount val="1"/>
                <c:pt idx="0">
                  <c:v>Count</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Dashboard_Claims!$A$16:$A$20</c:f>
              <c:strCache>
                <c:ptCount val="5"/>
                <c:pt idx="0">
                  <c:v>Health</c:v>
                </c:pt>
                <c:pt idx="1">
                  <c:v>Motor</c:v>
                </c:pt>
                <c:pt idx="2">
                  <c:v>Life</c:v>
                </c:pt>
                <c:pt idx="3">
                  <c:v>Property</c:v>
                </c:pt>
                <c:pt idx="4">
                  <c:v>Travel</c:v>
                </c:pt>
              </c:strCache>
            </c:strRef>
          </c:cat>
          <c:val>
            <c:numRef>
              <c:f>Dashboard_Claims!$B$16:$B$20</c:f>
              <c:numCache>
                <c:formatCode>General</c:formatCode>
                <c:ptCount val="5"/>
                <c:pt idx="0">
                  <c:v>95</c:v>
                </c:pt>
                <c:pt idx="1">
                  <c:v>61</c:v>
                </c:pt>
                <c:pt idx="2">
                  <c:v>56</c:v>
                </c:pt>
                <c:pt idx="3">
                  <c:v>46</c:v>
                </c:pt>
                <c:pt idx="4">
                  <c:v>20</c:v>
                </c:pt>
              </c:numCache>
            </c:numRef>
          </c:val>
          <c:extLst>
            <c:ext xmlns:c16="http://schemas.microsoft.com/office/drawing/2014/chart" uri="{C3380CC4-5D6E-409C-BE32-E72D297353CC}">
              <c16:uniqueId val="{00000000-D24E-45D9-A5F7-B3A08A2F1B9A}"/>
            </c:ext>
          </c:extLst>
        </c:ser>
        <c:dLbls>
          <c:showLegendKey val="0"/>
          <c:showVal val="0"/>
          <c:showCatName val="0"/>
          <c:showSerName val="0"/>
          <c:showPercent val="0"/>
          <c:showBubbleSize val="0"/>
        </c:dLbls>
        <c:gapWidth val="150"/>
        <c:axId val="83035747"/>
        <c:axId val="40770068"/>
      </c:barChart>
      <c:catAx>
        <c:axId val="8303574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0770068"/>
        <c:crosses val="autoZero"/>
        <c:auto val="1"/>
        <c:lblAlgn val="ctr"/>
        <c:lblOffset val="100"/>
        <c:noMultiLvlLbl val="0"/>
      </c:catAx>
      <c:valAx>
        <c:axId val="4077006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303574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Premium ($) By Policy Type</a:t>
            </a:r>
          </a:p>
        </c:rich>
      </c:tx>
      <c:overlay val="0"/>
      <c:spPr>
        <a:noFill/>
        <a:ln w="0">
          <a:noFill/>
        </a:ln>
      </c:spPr>
    </c:title>
    <c:autoTitleDeleted val="0"/>
    <c:plotArea>
      <c:layout/>
      <c:barChart>
        <c:barDir val="col"/>
        <c:grouping val="clustered"/>
        <c:varyColors val="0"/>
        <c:ser>
          <c:idx val="0"/>
          <c:order val="0"/>
          <c:tx>
            <c:strRef>
              <c:f>Dashboard_Claims!$C$15</c:f>
              <c:strCache>
                <c:ptCount val="1"/>
                <c:pt idx="0">
                  <c:v>Total Premium ($)</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Dashboard_Claims!$A$16:$A$20</c:f>
              <c:strCache>
                <c:ptCount val="5"/>
                <c:pt idx="0">
                  <c:v>Health</c:v>
                </c:pt>
                <c:pt idx="1">
                  <c:v>Motor</c:v>
                </c:pt>
                <c:pt idx="2">
                  <c:v>Life</c:v>
                </c:pt>
                <c:pt idx="3">
                  <c:v>Property</c:v>
                </c:pt>
                <c:pt idx="4">
                  <c:v>Travel</c:v>
                </c:pt>
              </c:strCache>
            </c:strRef>
          </c:cat>
          <c:val>
            <c:numRef>
              <c:f>Dashboard_Claims!$C$16:$C$20</c:f>
              <c:numCache>
                <c:formatCode>\$#,##0</c:formatCode>
                <c:ptCount val="5"/>
                <c:pt idx="0">
                  <c:v>32478.200000000019</c:v>
                </c:pt>
                <c:pt idx="1">
                  <c:v>17845.819999999992</c:v>
                </c:pt>
                <c:pt idx="2">
                  <c:v>23128.94</c:v>
                </c:pt>
                <c:pt idx="3">
                  <c:v>20403.419999999998</c:v>
                </c:pt>
                <c:pt idx="4">
                  <c:v>2125.9700000000003</c:v>
                </c:pt>
              </c:numCache>
            </c:numRef>
          </c:val>
          <c:extLst>
            <c:ext xmlns:c16="http://schemas.microsoft.com/office/drawing/2014/chart" uri="{C3380CC4-5D6E-409C-BE32-E72D297353CC}">
              <c16:uniqueId val="{00000000-7998-4EAD-91B2-502D7F276678}"/>
            </c:ext>
          </c:extLst>
        </c:ser>
        <c:dLbls>
          <c:showLegendKey val="0"/>
          <c:showVal val="0"/>
          <c:showCatName val="0"/>
          <c:showSerName val="0"/>
          <c:showPercent val="0"/>
          <c:showBubbleSize val="0"/>
        </c:dLbls>
        <c:gapWidth val="150"/>
        <c:axId val="38377642"/>
        <c:axId val="88589985"/>
      </c:barChart>
      <c:catAx>
        <c:axId val="383776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8589985"/>
        <c:crosses val="autoZero"/>
        <c:auto val="1"/>
        <c:lblAlgn val="ctr"/>
        <c:lblOffset val="100"/>
        <c:noMultiLvlLbl val="0"/>
      </c:catAx>
      <c:valAx>
        <c:axId val="8858998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Premium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83776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Policy Count By Claim Status</a:t>
            </a:r>
          </a:p>
        </c:rich>
      </c:tx>
      <c:overlay val="0"/>
      <c:spPr>
        <a:noFill/>
        <a:ln w="0">
          <a:noFill/>
        </a:ln>
      </c:spPr>
    </c:title>
    <c:autoTitleDeleted val="0"/>
    <c:plotArea>
      <c:layout/>
      <c:pieChart>
        <c:varyColors val="1"/>
        <c:ser>
          <c:idx val="0"/>
          <c:order val="0"/>
          <c:tx>
            <c:strRef>
              <c:f>Dashboard_Claims!$B$24</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B14B-4E0F-A226-A6AD0BB87DB3}"/>
              </c:ext>
            </c:extLst>
          </c:dPt>
          <c:dPt>
            <c:idx val="1"/>
            <c:bubble3D val="0"/>
            <c:spPr>
              <a:solidFill>
                <a:srgbClr val="C0504D"/>
              </a:solidFill>
              <a:ln w="0">
                <a:noFill/>
              </a:ln>
            </c:spPr>
            <c:extLst>
              <c:ext xmlns:c16="http://schemas.microsoft.com/office/drawing/2014/chart" uri="{C3380CC4-5D6E-409C-BE32-E72D297353CC}">
                <c16:uniqueId val="{00000003-B14B-4E0F-A226-A6AD0BB87DB3}"/>
              </c:ext>
            </c:extLst>
          </c:dPt>
          <c:dPt>
            <c:idx val="2"/>
            <c:bubble3D val="0"/>
            <c:spPr>
              <a:solidFill>
                <a:srgbClr val="9BBB59"/>
              </a:solidFill>
              <a:ln w="0">
                <a:noFill/>
              </a:ln>
            </c:spPr>
            <c:extLst>
              <c:ext xmlns:c16="http://schemas.microsoft.com/office/drawing/2014/chart" uri="{C3380CC4-5D6E-409C-BE32-E72D297353CC}">
                <c16:uniqueId val="{00000005-B14B-4E0F-A226-A6AD0BB87DB3}"/>
              </c:ext>
            </c:extLst>
          </c:dPt>
          <c:dPt>
            <c:idx val="3"/>
            <c:bubble3D val="0"/>
            <c:spPr>
              <a:solidFill>
                <a:srgbClr val="8064A2"/>
              </a:solidFill>
              <a:ln w="0">
                <a:noFill/>
              </a:ln>
            </c:spPr>
            <c:extLst>
              <c:ext xmlns:c16="http://schemas.microsoft.com/office/drawing/2014/chart" uri="{C3380CC4-5D6E-409C-BE32-E72D297353CC}">
                <c16:uniqueId val="{00000007-B14B-4E0F-A226-A6AD0BB87DB3}"/>
              </c:ext>
            </c:extLst>
          </c:dPt>
          <c:dPt>
            <c:idx val="4"/>
            <c:bubble3D val="0"/>
            <c:spPr>
              <a:solidFill>
                <a:srgbClr val="4BACC6"/>
              </a:solidFill>
              <a:ln w="0">
                <a:noFill/>
              </a:ln>
            </c:spPr>
            <c:extLst>
              <c:ext xmlns:c16="http://schemas.microsoft.com/office/drawing/2014/chart" uri="{C3380CC4-5D6E-409C-BE32-E72D297353CC}">
                <c16:uniqueId val="{00000009-B14B-4E0F-A226-A6AD0BB87DB3}"/>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B14B-4E0F-A226-A6AD0BB87DB3}"/>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B14B-4E0F-A226-A6AD0BB87DB3}"/>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B14B-4E0F-A226-A6AD0BB87DB3}"/>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B14B-4E0F-A226-A6AD0BB87DB3}"/>
                </c:ext>
              </c:extLst>
            </c:dLbl>
            <c:dLbl>
              <c:idx val="4"/>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9-B14B-4E0F-A226-A6AD0BB87DB3}"/>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Dashboard_Claims!$A$25:$A$29</c:f>
              <c:strCache>
                <c:ptCount val="5"/>
                <c:pt idx="0">
                  <c:v>No Claim</c:v>
                </c:pt>
                <c:pt idx="1">
                  <c:v>Approved</c:v>
                </c:pt>
                <c:pt idx="2">
                  <c:v>Pending</c:v>
                </c:pt>
                <c:pt idx="3">
                  <c:v>Rejected</c:v>
                </c:pt>
                <c:pt idx="4">
                  <c:v>Unknown</c:v>
                </c:pt>
              </c:strCache>
            </c:strRef>
          </c:cat>
          <c:val>
            <c:numRef>
              <c:f>Dashboard_Claims!$B$25:$B$29</c:f>
              <c:numCache>
                <c:formatCode>General</c:formatCode>
                <c:ptCount val="5"/>
                <c:pt idx="0">
                  <c:v>130</c:v>
                </c:pt>
                <c:pt idx="1">
                  <c:v>62</c:v>
                </c:pt>
                <c:pt idx="2">
                  <c:v>40</c:v>
                </c:pt>
                <c:pt idx="3">
                  <c:v>30</c:v>
                </c:pt>
                <c:pt idx="4">
                  <c:v>16</c:v>
                </c:pt>
              </c:numCache>
            </c:numRef>
          </c:val>
          <c:extLst>
            <c:ext xmlns:c16="http://schemas.microsoft.com/office/drawing/2014/chart" uri="{C3380CC4-5D6E-409C-BE32-E72D297353CC}">
              <c16:uniqueId val="{0000000A-B14B-4E0F-A226-A6AD0BB87DB3}"/>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Total Claim ($) By Claim Status</a:t>
            </a:r>
          </a:p>
        </c:rich>
      </c:tx>
      <c:overlay val="0"/>
      <c:spPr>
        <a:noFill/>
        <a:ln w="0">
          <a:noFill/>
        </a:ln>
      </c:spPr>
    </c:title>
    <c:autoTitleDeleted val="0"/>
    <c:plotArea>
      <c:layout/>
      <c:barChart>
        <c:barDir val="col"/>
        <c:grouping val="clustered"/>
        <c:varyColors val="0"/>
        <c:ser>
          <c:idx val="0"/>
          <c:order val="0"/>
          <c:tx>
            <c:strRef>
              <c:f>Dashboard_Claims!$C$24</c:f>
              <c:strCache>
                <c:ptCount val="1"/>
                <c:pt idx="0">
                  <c:v>Total Claim ($)</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Dashboard_Claims!$A$25:$A$29</c:f>
              <c:strCache>
                <c:ptCount val="5"/>
                <c:pt idx="0">
                  <c:v>No Claim</c:v>
                </c:pt>
                <c:pt idx="1">
                  <c:v>Approved</c:v>
                </c:pt>
                <c:pt idx="2">
                  <c:v>Pending</c:v>
                </c:pt>
                <c:pt idx="3">
                  <c:v>Rejected</c:v>
                </c:pt>
                <c:pt idx="4">
                  <c:v>Unknown</c:v>
                </c:pt>
              </c:strCache>
            </c:strRef>
          </c:cat>
          <c:val>
            <c:numRef>
              <c:f>Dashboard_Claims!$C$25:$C$29</c:f>
              <c:numCache>
                <c:formatCode>\$#,##0</c:formatCode>
                <c:ptCount val="5"/>
                <c:pt idx="0">
                  <c:v>0</c:v>
                </c:pt>
                <c:pt idx="1">
                  <c:v>128634.34999999995</c:v>
                </c:pt>
                <c:pt idx="2">
                  <c:v>84573.57</c:v>
                </c:pt>
                <c:pt idx="3">
                  <c:v>63860.05999999999</c:v>
                </c:pt>
                <c:pt idx="4">
                  <c:v>22439.210000000003</c:v>
                </c:pt>
              </c:numCache>
            </c:numRef>
          </c:val>
          <c:extLst>
            <c:ext xmlns:c16="http://schemas.microsoft.com/office/drawing/2014/chart" uri="{C3380CC4-5D6E-409C-BE32-E72D297353CC}">
              <c16:uniqueId val="{00000000-B758-4421-8424-870094DA6E2D}"/>
            </c:ext>
          </c:extLst>
        </c:ser>
        <c:dLbls>
          <c:showLegendKey val="0"/>
          <c:showVal val="0"/>
          <c:showCatName val="0"/>
          <c:showSerName val="0"/>
          <c:showPercent val="0"/>
          <c:showBubbleSize val="0"/>
        </c:dLbls>
        <c:gapWidth val="150"/>
        <c:axId val="47429446"/>
        <c:axId val="15670352"/>
      </c:barChart>
      <c:catAx>
        <c:axId val="4742944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5670352"/>
        <c:crosses val="autoZero"/>
        <c:auto val="1"/>
        <c:lblAlgn val="ctr"/>
        <c:lblOffset val="100"/>
        <c:noMultiLvlLbl val="0"/>
      </c:catAx>
      <c:valAx>
        <c:axId val="15670352"/>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Claim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42944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Policy Count By Age Group</a:t>
            </a:r>
          </a:p>
        </c:rich>
      </c:tx>
      <c:overlay val="0"/>
      <c:spPr>
        <a:noFill/>
        <a:ln w="0">
          <a:noFill/>
        </a:ln>
      </c:spPr>
    </c:title>
    <c:autoTitleDeleted val="0"/>
    <c:plotArea>
      <c:layout/>
      <c:barChart>
        <c:barDir val="col"/>
        <c:grouping val="clustered"/>
        <c:varyColors val="0"/>
        <c:ser>
          <c:idx val="0"/>
          <c:order val="0"/>
          <c:tx>
            <c:strRef>
              <c:f>Dashboard_Profile!$B$15</c:f>
              <c:strCache>
                <c:ptCount val="1"/>
                <c:pt idx="0">
                  <c:v>Count</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Dashboard_Profile!$A$16:$A$19</c:f>
              <c:strCache>
                <c:ptCount val="4"/>
                <c:pt idx="0">
                  <c:v>Young (18-24)</c:v>
                </c:pt>
                <c:pt idx="1">
                  <c:v>Adult (25-40)</c:v>
                </c:pt>
                <c:pt idx="2">
                  <c:v>Mid-Age (41-60)</c:v>
                </c:pt>
                <c:pt idx="3">
                  <c:v>Senior (60+)</c:v>
                </c:pt>
              </c:strCache>
            </c:strRef>
          </c:cat>
          <c:val>
            <c:numRef>
              <c:f>Dashboard_Profile!$B$16:$B$19</c:f>
              <c:numCache>
                <c:formatCode>General</c:formatCode>
                <c:ptCount val="4"/>
                <c:pt idx="0">
                  <c:v>37</c:v>
                </c:pt>
                <c:pt idx="1">
                  <c:v>77</c:v>
                </c:pt>
                <c:pt idx="2">
                  <c:v>94</c:v>
                </c:pt>
                <c:pt idx="3">
                  <c:v>70</c:v>
                </c:pt>
              </c:numCache>
            </c:numRef>
          </c:val>
          <c:extLst>
            <c:ext xmlns:c16="http://schemas.microsoft.com/office/drawing/2014/chart" uri="{C3380CC4-5D6E-409C-BE32-E72D297353CC}">
              <c16:uniqueId val="{00000000-F770-4CF6-B810-3D38217E67C6}"/>
            </c:ext>
          </c:extLst>
        </c:ser>
        <c:dLbls>
          <c:showLegendKey val="0"/>
          <c:showVal val="0"/>
          <c:showCatName val="0"/>
          <c:showSerName val="0"/>
          <c:showPercent val="0"/>
          <c:showBubbleSize val="0"/>
        </c:dLbls>
        <c:gapWidth val="150"/>
        <c:axId val="23812689"/>
        <c:axId val="80868234"/>
      </c:barChart>
      <c:catAx>
        <c:axId val="2381268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0868234"/>
        <c:crosses val="autoZero"/>
        <c:auto val="1"/>
        <c:lblAlgn val="ctr"/>
        <c:lblOffset val="100"/>
        <c:noMultiLvlLbl val="0"/>
      </c:catAx>
      <c:valAx>
        <c:axId val="8086823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381268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Premium ($) By Age Group</a:t>
            </a:r>
          </a:p>
        </c:rich>
      </c:tx>
      <c:overlay val="0"/>
      <c:spPr>
        <a:noFill/>
        <a:ln w="0">
          <a:noFill/>
        </a:ln>
      </c:spPr>
    </c:title>
    <c:autoTitleDeleted val="0"/>
    <c:plotArea>
      <c:layout/>
      <c:barChart>
        <c:barDir val="col"/>
        <c:grouping val="clustered"/>
        <c:varyColors val="0"/>
        <c:ser>
          <c:idx val="0"/>
          <c:order val="0"/>
          <c:tx>
            <c:strRef>
              <c:f>Dashboard_Profile!$C$15</c:f>
              <c:strCache>
                <c:ptCount val="1"/>
                <c:pt idx="0">
                  <c:v>Avg Premium ($)</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Dashboard_Profile!$A$16:$A$19</c:f>
              <c:strCache>
                <c:ptCount val="4"/>
                <c:pt idx="0">
                  <c:v>Young (18-24)</c:v>
                </c:pt>
                <c:pt idx="1">
                  <c:v>Adult (25-40)</c:v>
                </c:pt>
                <c:pt idx="2">
                  <c:v>Mid-Age (41-60)</c:v>
                </c:pt>
                <c:pt idx="3">
                  <c:v>Senior (60+)</c:v>
                </c:pt>
              </c:strCache>
            </c:strRef>
          </c:cat>
          <c:val>
            <c:numRef>
              <c:f>Dashboard_Profile!$C$16:$C$19</c:f>
              <c:numCache>
                <c:formatCode>\$#,##0</c:formatCode>
                <c:ptCount val="4"/>
                <c:pt idx="0">
                  <c:v>345.79054054054052</c:v>
                </c:pt>
                <c:pt idx="1">
                  <c:v>346.67662337662347</c:v>
                </c:pt>
                <c:pt idx="2">
                  <c:v>334.78202127659574</c:v>
                </c:pt>
                <c:pt idx="3">
                  <c:v>357.49271428571438</c:v>
                </c:pt>
              </c:numCache>
            </c:numRef>
          </c:val>
          <c:extLst>
            <c:ext xmlns:c16="http://schemas.microsoft.com/office/drawing/2014/chart" uri="{C3380CC4-5D6E-409C-BE32-E72D297353CC}">
              <c16:uniqueId val="{00000000-63B3-4355-8438-AECD66559F11}"/>
            </c:ext>
          </c:extLst>
        </c:ser>
        <c:dLbls>
          <c:showLegendKey val="0"/>
          <c:showVal val="0"/>
          <c:showCatName val="0"/>
          <c:showSerName val="0"/>
          <c:showPercent val="0"/>
          <c:showBubbleSize val="0"/>
        </c:dLbls>
        <c:gapWidth val="150"/>
        <c:axId val="66079779"/>
        <c:axId val="36992119"/>
      </c:barChart>
      <c:catAx>
        <c:axId val="6607977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6992119"/>
        <c:crosses val="autoZero"/>
        <c:auto val="1"/>
        <c:lblAlgn val="ctr"/>
        <c:lblOffset val="100"/>
        <c:noMultiLvlLbl val="0"/>
      </c:catAx>
      <c:valAx>
        <c:axId val="3699211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Premium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607977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Policy Count By Policy Type</a:t>
            </a:r>
          </a:p>
        </c:rich>
      </c:tx>
      <c:overlay val="0"/>
      <c:spPr>
        <a:noFill/>
        <a:ln w="0">
          <a:noFill/>
        </a:ln>
      </c:spPr>
    </c:title>
    <c:autoTitleDeleted val="0"/>
    <c:plotArea>
      <c:layout/>
      <c:pieChart>
        <c:varyColors val="1"/>
        <c:ser>
          <c:idx val="0"/>
          <c:order val="0"/>
          <c:tx>
            <c:strRef>
              <c:f>Dashboard_Profile!$B$23</c:f>
              <c:strCache>
                <c:ptCount val="1"/>
                <c:pt idx="0">
                  <c:v>Count</c:v>
                </c:pt>
              </c:strCache>
            </c:strRef>
          </c:tx>
          <c:spPr>
            <a:solidFill>
              <a:srgbClr val="4F81BD"/>
            </a:solidFill>
            <a:ln w="0">
              <a:noFill/>
            </a:ln>
          </c:spPr>
          <c:dPt>
            <c:idx val="0"/>
            <c:bubble3D val="0"/>
            <c:extLst>
              <c:ext xmlns:c16="http://schemas.microsoft.com/office/drawing/2014/chart" uri="{C3380CC4-5D6E-409C-BE32-E72D297353CC}">
                <c16:uniqueId val="{00000001-C4C5-4D7B-BC1D-95809456B016}"/>
              </c:ext>
            </c:extLst>
          </c:dPt>
          <c:dPt>
            <c:idx val="1"/>
            <c:bubble3D val="0"/>
            <c:spPr>
              <a:solidFill>
                <a:srgbClr val="C0504D"/>
              </a:solidFill>
              <a:ln w="0">
                <a:noFill/>
              </a:ln>
            </c:spPr>
            <c:extLst>
              <c:ext xmlns:c16="http://schemas.microsoft.com/office/drawing/2014/chart" uri="{C3380CC4-5D6E-409C-BE32-E72D297353CC}">
                <c16:uniqueId val="{00000003-C4C5-4D7B-BC1D-95809456B016}"/>
              </c:ext>
            </c:extLst>
          </c:dPt>
          <c:dPt>
            <c:idx val="2"/>
            <c:bubble3D val="0"/>
            <c:spPr>
              <a:solidFill>
                <a:srgbClr val="9BBB59"/>
              </a:solidFill>
              <a:ln w="0">
                <a:noFill/>
              </a:ln>
            </c:spPr>
            <c:extLst>
              <c:ext xmlns:c16="http://schemas.microsoft.com/office/drawing/2014/chart" uri="{C3380CC4-5D6E-409C-BE32-E72D297353CC}">
                <c16:uniqueId val="{00000005-C4C5-4D7B-BC1D-95809456B016}"/>
              </c:ext>
            </c:extLst>
          </c:dPt>
          <c:dPt>
            <c:idx val="3"/>
            <c:bubble3D val="0"/>
            <c:spPr>
              <a:solidFill>
                <a:srgbClr val="8064A2"/>
              </a:solidFill>
              <a:ln w="0">
                <a:noFill/>
              </a:ln>
            </c:spPr>
            <c:extLst>
              <c:ext xmlns:c16="http://schemas.microsoft.com/office/drawing/2014/chart" uri="{C3380CC4-5D6E-409C-BE32-E72D297353CC}">
                <c16:uniqueId val="{00000007-C4C5-4D7B-BC1D-95809456B016}"/>
              </c:ext>
            </c:extLst>
          </c:dPt>
          <c:dPt>
            <c:idx val="4"/>
            <c:bubble3D val="0"/>
            <c:spPr>
              <a:solidFill>
                <a:srgbClr val="4BACC6"/>
              </a:solidFill>
              <a:ln w="0">
                <a:noFill/>
              </a:ln>
            </c:spPr>
            <c:extLst>
              <c:ext xmlns:c16="http://schemas.microsoft.com/office/drawing/2014/chart" uri="{C3380CC4-5D6E-409C-BE32-E72D297353CC}">
                <c16:uniqueId val="{00000009-C4C5-4D7B-BC1D-95809456B016}"/>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C4C5-4D7B-BC1D-95809456B016}"/>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C4C5-4D7B-BC1D-95809456B016}"/>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C4C5-4D7B-BC1D-95809456B016}"/>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C4C5-4D7B-BC1D-95809456B016}"/>
                </c:ext>
              </c:extLst>
            </c:dLbl>
            <c:dLbl>
              <c:idx val="4"/>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9-C4C5-4D7B-BC1D-95809456B016}"/>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Dashboard_Profile!$A$24:$A$28</c:f>
              <c:strCache>
                <c:ptCount val="5"/>
                <c:pt idx="0">
                  <c:v>Health</c:v>
                </c:pt>
                <c:pt idx="1">
                  <c:v>Motor</c:v>
                </c:pt>
                <c:pt idx="2">
                  <c:v>Life</c:v>
                </c:pt>
                <c:pt idx="3">
                  <c:v>Property</c:v>
                </c:pt>
                <c:pt idx="4">
                  <c:v>Travel</c:v>
                </c:pt>
              </c:strCache>
            </c:strRef>
          </c:cat>
          <c:val>
            <c:numRef>
              <c:f>Dashboard_Profile!$B$24:$B$28</c:f>
              <c:numCache>
                <c:formatCode>General</c:formatCode>
                <c:ptCount val="5"/>
                <c:pt idx="0">
                  <c:v>95</c:v>
                </c:pt>
                <c:pt idx="1">
                  <c:v>61</c:v>
                </c:pt>
                <c:pt idx="2">
                  <c:v>56</c:v>
                </c:pt>
                <c:pt idx="3">
                  <c:v>46</c:v>
                </c:pt>
                <c:pt idx="4">
                  <c:v>20</c:v>
                </c:pt>
              </c:numCache>
            </c:numRef>
          </c:val>
          <c:extLst>
            <c:ext xmlns:c16="http://schemas.microsoft.com/office/drawing/2014/chart" uri="{C3380CC4-5D6E-409C-BE32-E72D297353CC}">
              <c16:uniqueId val="{0000000A-C4C5-4D7B-BC1D-95809456B016}"/>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Avg Claim ($) By Policy Type</a:t>
            </a:r>
          </a:p>
        </c:rich>
      </c:tx>
      <c:overlay val="0"/>
      <c:spPr>
        <a:noFill/>
        <a:ln w="0">
          <a:noFill/>
        </a:ln>
      </c:spPr>
    </c:title>
    <c:autoTitleDeleted val="0"/>
    <c:plotArea>
      <c:layout/>
      <c:barChart>
        <c:barDir val="col"/>
        <c:grouping val="clustered"/>
        <c:varyColors val="0"/>
        <c:ser>
          <c:idx val="0"/>
          <c:order val="0"/>
          <c:tx>
            <c:strRef>
              <c:f>Dashboard_Profile!$C$23</c:f>
              <c:strCache>
                <c:ptCount val="1"/>
                <c:pt idx="0">
                  <c:v>Avg Claim ($)</c:v>
                </c:pt>
              </c:strCache>
            </c:strRef>
          </c:tx>
          <c:spPr>
            <a:solidFill>
              <a:srgbClr val="4F81B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Dashboard_Profile!$A$24:$A$28</c:f>
              <c:strCache>
                <c:ptCount val="5"/>
                <c:pt idx="0">
                  <c:v>Health</c:v>
                </c:pt>
                <c:pt idx="1">
                  <c:v>Motor</c:v>
                </c:pt>
                <c:pt idx="2">
                  <c:v>Life</c:v>
                </c:pt>
                <c:pt idx="3">
                  <c:v>Property</c:v>
                </c:pt>
                <c:pt idx="4">
                  <c:v>Travel</c:v>
                </c:pt>
              </c:strCache>
            </c:strRef>
          </c:cat>
          <c:val>
            <c:numRef>
              <c:f>Dashboard_Profile!$C$24:$C$28</c:f>
              <c:numCache>
                <c:formatCode>\$#,##0</c:formatCode>
                <c:ptCount val="5"/>
                <c:pt idx="0">
                  <c:v>1107.3044210526314</c:v>
                </c:pt>
                <c:pt idx="1">
                  <c:v>863.76721311475387</c:v>
                </c:pt>
                <c:pt idx="2">
                  <c:v>1151.0982142857142</c:v>
                </c:pt>
                <c:pt idx="3">
                  <c:v>1502.6943478260871</c:v>
                </c:pt>
                <c:pt idx="4">
                  <c:v>401.90150000000006</c:v>
                </c:pt>
              </c:numCache>
            </c:numRef>
          </c:val>
          <c:extLst>
            <c:ext xmlns:c16="http://schemas.microsoft.com/office/drawing/2014/chart" uri="{C3380CC4-5D6E-409C-BE32-E72D297353CC}">
              <c16:uniqueId val="{00000000-FE36-4B63-9993-3CF6FF511CAB}"/>
            </c:ext>
          </c:extLst>
        </c:ser>
        <c:dLbls>
          <c:showLegendKey val="0"/>
          <c:showVal val="0"/>
          <c:showCatName val="0"/>
          <c:showSerName val="0"/>
          <c:showPercent val="0"/>
          <c:showBubbleSize val="0"/>
        </c:dLbls>
        <c:gapWidth val="150"/>
        <c:axId val="92269811"/>
        <c:axId val="20835588"/>
      </c:barChart>
      <c:catAx>
        <c:axId val="922698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835588"/>
        <c:crosses val="autoZero"/>
        <c:auto val="1"/>
        <c:lblAlgn val="ctr"/>
        <c:lblOffset val="100"/>
        <c:noMultiLvlLbl val="0"/>
      </c:catAx>
      <c:valAx>
        <c:axId val="2083558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Avg Claim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226981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7</xdr:col>
      <xdr:colOff>636840</xdr:colOff>
      <xdr:row>26</xdr:row>
      <xdr:rowOff>30960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28</xdr:row>
      <xdr:rowOff>0</xdr:rowOff>
    </xdr:from>
    <xdr:to>
      <xdr:col>7</xdr:col>
      <xdr:colOff>636840</xdr:colOff>
      <xdr:row>42</xdr:row>
      <xdr:rowOff>31320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12</xdr:row>
      <xdr:rowOff>0</xdr:rowOff>
    </xdr:from>
    <xdr:to>
      <xdr:col>13</xdr:col>
      <xdr:colOff>636480</xdr:colOff>
      <xdr:row>26</xdr:row>
      <xdr:rowOff>30960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28</xdr:row>
      <xdr:rowOff>0</xdr:rowOff>
    </xdr:from>
    <xdr:to>
      <xdr:col>13</xdr:col>
      <xdr:colOff>636480</xdr:colOff>
      <xdr:row>42</xdr:row>
      <xdr:rowOff>31320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7</xdr:col>
      <xdr:colOff>636840</xdr:colOff>
      <xdr:row>26</xdr:row>
      <xdr:rowOff>30960</xdr:rowOff>
    </xdr:to>
    <xdr:graphicFrame macro="">
      <xdr:nvGraphicFramePr>
        <xdr:cNvPr id="4" name="Chart 1">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28</xdr:row>
      <xdr:rowOff>0</xdr:rowOff>
    </xdr:from>
    <xdr:to>
      <xdr:col>7</xdr:col>
      <xdr:colOff>636840</xdr:colOff>
      <xdr:row>42</xdr:row>
      <xdr:rowOff>31320</xdr:rowOff>
    </xdr:to>
    <xdr:graphicFrame macro="">
      <xdr:nvGraphicFramePr>
        <xdr:cNvPr id="5" name="Chart 2">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12</xdr:row>
      <xdr:rowOff>0</xdr:rowOff>
    </xdr:from>
    <xdr:to>
      <xdr:col>13</xdr:col>
      <xdr:colOff>636480</xdr:colOff>
      <xdr:row>26</xdr:row>
      <xdr:rowOff>30960</xdr:rowOff>
    </xdr:to>
    <xdr:graphicFrame macro="">
      <xdr:nvGraphicFramePr>
        <xdr:cNvPr id="6" name="Chart 3">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28</xdr:row>
      <xdr:rowOff>0</xdr:rowOff>
    </xdr:from>
    <xdr:to>
      <xdr:col>13</xdr:col>
      <xdr:colOff>636480</xdr:colOff>
      <xdr:row>42</xdr:row>
      <xdr:rowOff>31320</xdr:rowOff>
    </xdr:to>
    <xdr:graphicFrame macro="">
      <xdr:nvGraphicFramePr>
        <xdr:cNvPr id="7" name="Chart 4">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awData" displayName="RawData" ref="A3:G303" totalsRowShown="0">
  <autoFilter ref="A3:G303" xr:uid="{00000000-0009-0000-0100-000003000000}"/>
  <tableColumns count="7">
    <tableColumn id="1" xr3:uid="{00000000-0010-0000-0000-000001000000}" name="Policy_ID"/>
    <tableColumn id="2" xr3:uid="{00000000-0010-0000-0000-000002000000}" name="Policy_Date"/>
    <tableColumn id="3" xr3:uid="{00000000-0010-0000-0000-000003000000}" name="Policy_Type"/>
    <tableColumn id="4" xr3:uid="{00000000-0010-0000-0000-000004000000}" name="Customer_Age"/>
    <tableColumn id="5" xr3:uid="{00000000-0010-0000-0000-000005000000}" name="Premium"/>
    <tableColumn id="6" xr3:uid="{00000000-0010-0000-0000-000006000000}" name="Claim_Amount"/>
    <tableColumn id="7" xr3:uid="{00000000-0010-0000-0000-000007000000}" name="Claim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leanData" displayName="CleanData" ref="A3:Q281" totalsRowShown="0">
  <autoFilter ref="A3:Q281" xr:uid="{00000000-0009-0000-0100-000001000000}"/>
  <tableColumns count="17">
    <tableColumn id="1" xr3:uid="{00000000-0010-0000-0100-000001000000}" name="Row_No"/>
    <tableColumn id="2" xr3:uid="{00000000-0010-0000-0100-000002000000}" name="Policy_ID"/>
    <tableColumn id="3" xr3:uid="{00000000-0010-0000-0100-000003000000}" name="Policy_Date"/>
    <tableColumn id="4" xr3:uid="{00000000-0010-0000-0100-000004000000}" name="Policy_Type"/>
    <tableColumn id="5" xr3:uid="{00000000-0010-0000-0100-000005000000}" name="Customer_Age"/>
    <tableColumn id="6" xr3:uid="{00000000-0010-0000-0100-000006000000}" name="Premium"/>
    <tableColumn id="7" xr3:uid="{00000000-0010-0000-0100-000007000000}" name="Claim_Amount"/>
    <tableColumn id="8" xr3:uid="{00000000-0010-0000-0100-000008000000}" name="Claim_Status"/>
    <tableColumn id="9" xr3:uid="{00000000-0010-0000-0100-000009000000}" name="Data_Quality_Notes"/>
    <tableColumn id="10" xr3:uid="{00000000-0010-0000-0100-00000A000000}" name="Policy_Year"/>
    <tableColumn id="11" xr3:uid="{00000000-0010-0000-0100-00000B000000}" name="Policy_Month"/>
    <tableColumn id="12" xr3:uid="{00000000-0010-0000-0100-00000C000000}" name="Age_Group"/>
    <tableColumn id="13" xr3:uid="{00000000-0010-0000-0100-00000D000000}" name="Claim_Ratio"/>
    <tableColumn id="14" xr3:uid="{00000000-0010-0000-0100-00000E000000}" name="Priority_Flag"/>
    <tableColumn id="15" xr3:uid="{00000000-0010-0000-0100-00000F000000}" name="Policy_ID_Prefix"/>
    <tableColumn id="16" xr3:uid="{00000000-0010-0000-0100-000010000000}" name="Type_Upper"/>
    <tableColumn id="17" xr3:uid="{00000000-0010-0000-0100-000011000000}" name="Days_Ope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leaningLog" displayName="CleaningLog" ref="A4:D21" totalsRowShown="0">
  <autoFilter ref="A4:D21" xr:uid="{00000000-0009-0000-0100-000002000000}"/>
  <tableColumns count="4">
    <tableColumn id="1" xr3:uid="{00000000-0010-0000-0200-000001000000}" name="Field"/>
    <tableColumn id="2" xr3:uid="{00000000-0010-0000-0200-000002000000}" name="Issue Found"/>
    <tableColumn id="3" xr3:uid="{00000000-0010-0000-0200-000003000000}" name="Records Affected"/>
    <tableColumn id="4" xr3:uid="{00000000-0010-0000-0200-000004000000}" name="Action Take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6A6A6"/>
    <pageSetUpPr fitToPage="1"/>
  </sheetPr>
  <dimension ref="A1:G303"/>
  <sheetViews>
    <sheetView showGridLines="0" zoomScaleNormal="100" workbookViewId="0">
      <pane ySplit="3" topLeftCell="A284" activePane="bottomLeft" state="frozen"/>
      <selection pane="bottomLeft" sqref="A1:G1"/>
    </sheetView>
  </sheetViews>
  <sheetFormatPr defaultColWidth="8.6328125" defaultRowHeight="14.5" x14ac:dyDescent="0.35"/>
  <cols>
    <col min="1" max="1" width="12" customWidth="1"/>
    <col min="2" max="2" width="15" customWidth="1"/>
    <col min="3" max="3" width="13" customWidth="1"/>
    <col min="4" max="7" width="15" customWidth="1"/>
  </cols>
  <sheetData>
    <row r="1" spans="1:7" ht="15.75" customHeight="1" x14ac:dyDescent="0.35">
      <c r="A1" s="31" t="s">
        <v>0</v>
      </c>
      <c r="B1" s="31"/>
      <c r="C1" s="31"/>
      <c r="D1" s="31"/>
      <c r="E1" s="31"/>
      <c r="F1" s="31"/>
      <c r="G1" s="31"/>
    </row>
    <row r="3" spans="1:7" ht="15" customHeight="1" x14ac:dyDescent="0.35">
      <c r="A3" s="2" t="s">
        <v>1</v>
      </c>
      <c r="B3" s="2" t="s">
        <v>2</v>
      </c>
      <c r="C3" s="2" t="s">
        <v>3</v>
      </c>
      <c r="D3" s="2" t="s">
        <v>4</v>
      </c>
      <c r="E3" s="2" t="s">
        <v>5</v>
      </c>
      <c r="F3" s="2" t="s">
        <v>6</v>
      </c>
      <c r="G3" s="2" t="s">
        <v>7</v>
      </c>
    </row>
    <row r="4" spans="1:7" ht="15" customHeight="1" x14ac:dyDescent="0.35">
      <c r="A4" t="s">
        <v>8</v>
      </c>
      <c r="B4" s="3"/>
      <c r="C4" t="s">
        <v>9</v>
      </c>
      <c r="D4">
        <v>73</v>
      </c>
      <c r="E4" s="4">
        <v>313.10000000000002</v>
      </c>
      <c r="F4" s="4">
        <v>0</v>
      </c>
      <c r="G4" t="s">
        <v>10</v>
      </c>
    </row>
    <row r="5" spans="1:7" ht="15" customHeight="1" x14ac:dyDescent="0.35">
      <c r="A5" t="s">
        <v>11</v>
      </c>
      <c r="B5" s="3">
        <v>46136</v>
      </c>
      <c r="C5" t="s">
        <v>12</v>
      </c>
      <c r="D5">
        <v>31</v>
      </c>
      <c r="E5" s="4">
        <v>323.64</v>
      </c>
      <c r="F5" s="4"/>
      <c r="G5" t="s">
        <v>13</v>
      </c>
    </row>
    <row r="6" spans="1:7" ht="15" customHeight="1" x14ac:dyDescent="0.35">
      <c r="A6" t="s">
        <v>14</v>
      </c>
      <c r="B6" s="3">
        <v>45701</v>
      </c>
      <c r="C6" t="s">
        <v>9</v>
      </c>
      <c r="D6">
        <v>37</v>
      </c>
      <c r="E6" s="4">
        <v>333.82</v>
      </c>
      <c r="F6" s="4">
        <v>4200.03</v>
      </c>
      <c r="G6" t="s">
        <v>13</v>
      </c>
    </row>
    <row r="7" spans="1:7" ht="15" customHeight="1" x14ac:dyDescent="0.35">
      <c r="A7" t="s">
        <v>15</v>
      </c>
      <c r="B7" s="3">
        <v>46092</v>
      </c>
      <c r="C7" t="s">
        <v>16</v>
      </c>
      <c r="D7">
        <v>31</v>
      </c>
      <c r="E7" s="4">
        <v>449.01</v>
      </c>
      <c r="F7" s="4">
        <v>1953.01</v>
      </c>
      <c r="G7" t="s">
        <v>17</v>
      </c>
    </row>
    <row r="8" spans="1:7" ht="15" customHeight="1" x14ac:dyDescent="0.35">
      <c r="A8" t="s">
        <v>18</v>
      </c>
      <c r="B8" s="3">
        <v>46002</v>
      </c>
      <c r="C8" t="s">
        <v>19</v>
      </c>
      <c r="D8">
        <v>28</v>
      </c>
      <c r="E8" s="4">
        <v>378.73</v>
      </c>
      <c r="F8" s="4">
        <v>0</v>
      </c>
      <c r="G8" t="s">
        <v>10</v>
      </c>
    </row>
    <row r="9" spans="1:7" ht="15" customHeight="1" x14ac:dyDescent="0.35">
      <c r="A9" t="s">
        <v>20</v>
      </c>
      <c r="B9" s="3">
        <v>45977</v>
      </c>
      <c r="C9" t="s">
        <v>9</v>
      </c>
      <c r="D9">
        <v>43</v>
      </c>
      <c r="E9" s="4">
        <v>528.79999999999995</v>
      </c>
      <c r="F9" s="4">
        <v>3093.69</v>
      </c>
      <c r="G9" t="s">
        <v>17</v>
      </c>
    </row>
    <row r="10" spans="1:7" ht="15" customHeight="1" x14ac:dyDescent="0.35">
      <c r="A10" t="s">
        <v>21</v>
      </c>
      <c r="B10" s="3">
        <v>45986</v>
      </c>
      <c r="C10" t="s">
        <v>9</v>
      </c>
      <c r="D10">
        <v>53</v>
      </c>
      <c r="E10" s="4">
        <v>354.41</v>
      </c>
      <c r="F10" s="4">
        <v>391.32</v>
      </c>
      <c r="G10" t="s">
        <v>17</v>
      </c>
    </row>
    <row r="11" spans="1:7" ht="15" customHeight="1" x14ac:dyDescent="0.35">
      <c r="A11" t="s">
        <v>22</v>
      </c>
      <c r="B11" s="3">
        <v>45778</v>
      </c>
      <c r="C11" t="s">
        <v>19</v>
      </c>
      <c r="D11">
        <v>60</v>
      </c>
      <c r="E11" s="4">
        <v>364.96</v>
      </c>
      <c r="F11" s="4">
        <v>0</v>
      </c>
      <c r="G11" t="s">
        <v>10</v>
      </c>
    </row>
    <row r="12" spans="1:7" ht="15" customHeight="1" x14ac:dyDescent="0.35">
      <c r="A12" t="s">
        <v>23</v>
      </c>
      <c r="B12" s="3">
        <v>45905</v>
      </c>
      <c r="C12" t="s">
        <v>12</v>
      </c>
      <c r="D12">
        <v>23</v>
      </c>
      <c r="E12" s="4">
        <v>339.63</v>
      </c>
      <c r="F12" s="4">
        <v>0</v>
      </c>
      <c r="G12" t="s">
        <v>10</v>
      </c>
    </row>
    <row r="13" spans="1:7" ht="15" customHeight="1" x14ac:dyDescent="0.35">
      <c r="A13" t="s">
        <v>24</v>
      </c>
      <c r="B13" s="3">
        <v>45939</v>
      </c>
      <c r="C13" t="s">
        <v>16</v>
      </c>
      <c r="D13">
        <v>62</v>
      </c>
      <c r="E13" s="4">
        <v>395.53</v>
      </c>
      <c r="F13" s="4">
        <v>4924.33</v>
      </c>
      <c r="G13" t="s">
        <v>13</v>
      </c>
    </row>
    <row r="14" spans="1:7" ht="15" customHeight="1" x14ac:dyDescent="0.35">
      <c r="A14" t="s">
        <v>25</v>
      </c>
      <c r="B14" s="3">
        <v>45843</v>
      </c>
      <c r="C14" t="s">
        <v>19</v>
      </c>
      <c r="D14">
        <v>74</v>
      </c>
      <c r="E14" s="4">
        <v>351.89</v>
      </c>
      <c r="F14" s="4">
        <v>0</v>
      </c>
      <c r="G14" t="s">
        <v>10</v>
      </c>
    </row>
    <row r="15" spans="1:7" ht="15" customHeight="1" x14ac:dyDescent="0.35">
      <c r="A15" t="s">
        <v>26</v>
      </c>
      <c r="B15" s="3">
        <v>45860</v>
      </c>
      <c r="C15" t="s">
        <v>16</v>
      </c>
      <c r="D15">
        <v>70</v>
      </c>
      <c r="E15" s="4">
        <v>565.55999999999995</v>
      </c>
      <c r="F15" s="4"/>
      <c r="G15" t="s">
        <v>10</v>
      </c>
    </row>
    <row r="16" spans="1:7" ht="15" customHeight="1" x14ac:dyDescent="0.35">
      <c r="A16" t="s">
        <v>27</v>
      </c>
      <c r="B16" s="3">
        <v>45672</v>
      </c>
      <c r="C16" t="s">
        <v>19</v>
      </c>
      <c r="D16">
        <v>72</v>
      </c>
      <c r="E16" s="4">
        <v>299.62</v>
      </c>
      <c r="F16" s="4">
        <v>0</v>
      </c>
      <c r="G16" t="s">
        <v>10</v>
      </c>
    </row>
    <row r="17" spans="1:7" ht="15" customHeight="1" x14ac:dyDescent="0.35">
      <c r="B17" s="3">
        <v>45878</v>
      </c>
      <c r="C17" t="s">
        <v>16</v>
      </c>
      <c r="D17">
        <v>61</v>
      </c>
      <c r="E17" s="4">
        <v>470.8</v>
      </c>
      <c r="F17" s="4">
        <v>0</v>
      </c>
      <c r="G17" t="s">
        <v>10</v>
      </c>
    </row>
    <row r="18" spans="1:7" ht="15" customHeight="1" x14ac:dyDescent="0.35">
      <c r="A18" t="s">
        <v>28</v>
      </c>
      <c r="B18" s="3">
        <v>46030</v>
      </c>
      <c r="C18" t="s">
        <v>16</v>
      </c>
      <c r="D18">
        <v>35</v>
      </c>
      <c r="E18" s="4">
        <v>489.34</v>
      </c>
      <c r="F18" s="4">
        <v>0</v>
      </c>
      <c r="G18" t="s">
        <v>10</v>
      </c>
    </row>
    <row r="19" spans="1:7" ht="15" customHeight="1" x14ac:dyDescent="0.35">
      <c r="A19" t="s">
        <v>29</v>
      </c>
      <c r="B19" s="3">
        <v>45690</v>
      </c>
      <c r="C19" t="s">
        <v>9</v>
      </c>
      <c r="D19">
        <v>62</v>
      </c>
      <c r="E19" s="4">
        <v>459.88</v>
      </c>
      <c r="F19" s="4"/>
      <c r="G19" t="s">
        <v>30</v>
      </c>
    </row>
    <row r="20" spans="1:7" ht="15" customHeight="1" x14ac:dyDescent="0.35">
      <c r="A20" t="s">
        <v>31</v>
      </c>
      <c r="B20" s="3"/>
      <c r="C20" t="s">
        <v>16</v>
      </c>
      <c r="D20">
        <v>32</v>
      </c>
      <c r="E20" s="4">
        <v>457.2</v>
      </c>
      <c r="F20" s="4">
        <v>4730.21</v>
      </c>
      <c r="G20" t="s">
        <v>13</v>
      </c>
    </row>
    <row r="21" spans="1:7" ht="15" customHeight="1" x14ac:dyDescent="0.35">
      <c r="A21" t="s">
        <v>32</v>
      </c>
      <c r="B21" s="3">
        <v>45721</v>
      </c>
      <c r="C21" t="s">
        <v>19</v>
      </c>
      <c r="D21">
        <v>26</v>
      </c>
      <c r="E21" s="4">
        <v>400.34</v>
      </c>
      <c r="F21" s="4">
        <v>3358.5</v>
      </c>
      <c r="G21" t="s">
        <v>13</v>
      </c>
    </row>
    <row r="22" spans="1:7" ht="15" customHeight="1" x14ac:dyDescent="0.35">
      <c r="A22" t="s">
        <v>33</v>
      </c>
      <c r="B22" s="3">
        <v>45730</v>
      </c>
      <c r="C22" t="s">
        <v>12</v>
      </c>
      <c r="D22">
        <v>73</v>
      </c>
      <c r="E22" s="4">
        <v>225.58</v>
      </c>
      <c r="F22" s="4">
        <v>0</v>
      </c>
      <c r="G22" t="s">
        <v>10</v>
      </c>
    </row>
    <row r="23" spans="1:7" ht="15" customHeight="1" x14ac:dyDescent="0.35">
      <c r="A23" t="s">
        <v>34</v>
      </c>
      <c r="B23" s="3">
        <v>46015</v>
      </c>
      <c r="C23" t="s">
        <v>19</v>
      </c>
      <c r="D23">
        <v>71</v>
      </c>
      <c r="E23" s="4">
        <v>316.81</v>
      </c>
      <c r="F23" s="4">
        <v>665.9</v>
      </c>
      <c r="G23" t="s">
        <v>30</v>
      </c>
    </row>
    <row r="24" spans="1:7" ht="15" customHeight="1" x14ac:dyDescent="0.35">
      <c r="B24" s="3">
        <v>45687</v>
      </c>
      <c r="C24" t="s">
        <v>12</v>
      </c>
      <c r="D24">
        <v>36</v>
      </c>
      <c r="E24" s="4">
        <v>348.71</v>
      </c>
      <c r="F24" s="4">
        <v>0</v>
      </c>
      <c r="G24" t="s">
        <v>10</v>
      </c>
    </row>
    <row r="25" spans="1:7" ht="15" customHeight="1" x14ac:dyDescent="0.35">
      <c r="A25" t="s">
        <v>35</v>
      </c>
      <c r="B25" s="3">
        <v>45719</v>
      </c>
      <c r="C25" t="s">
        <v>9</v>
      </c>
      <c r="E25" s="4">
        <v>406.44</v>
      </c>
      <c r="F25" s="4">
        <v>3577.14</v>
      </c>
      <c r="G25" t="s">
        <v>17</v>
      </c>
    </row>
    <row r="26" spans="1:7" ht="15" customHeight="1" x14ac:dyDescent="0.35">
      <c r="A26" t="s">
        <v>36</v>
      </c>
      <c r="B26" s="3">
        <v>46051</v>
      </c>
      <c r="C26" t="s">
        <v>19</v>
      </c>
      <c r="D26">
        <v>44</v>
      </c>
      <c r="E26" s="4">
        <v>387.98</v>
      </c>
      <c r="F26" s="4">
        <v>0</v>
      </c>
      <c r="G26" t="s">
        <v>10</v>
      </c>
    </row>
    <row r="27" spans="1:7" ht="15" customHeight="1" x14ac:dyDescent="0.35">
      <c r="A27" t="s">
        <v>37</v>
      </c>
      <c r="B27" s="3">
        <v>45837</v>
      </c>
      <c r="C27" t="s">
        <v>19</v>
      </c>
      <c r="D27" t="s">
        <v>38</v>
      </c>
      <c r="E27" s="4">
        <v>415.77</v>
      </c>
      <c r="F27" s="4">
        <v>0</v>
      </c>
      <c r="G27" t="s">
        <v>10</v>
      </c>
    </row>
    <row r="28" spans="1:7" ht="15" customHeight="1" x14ac:dyDescent="0.35">
      <c r="A28" t="s">
        <v>39</v>
      </c>
      <c r="B28" s="3">
        <v>45744</v>
      </c>
      <c r="C28" t="s">
        <v>40</v>
      </c>
      <c r="D28">
        <v>21</v>
      </c>
      <c r="E28" s="4"/>
      <c r="F28" s="4">
        <v>0</v>
      </c>
      <c r="G28" t="s">
        <v>10</v>
      </c>
    </row>
    <row r="29" spans="1:7" ht="15" customHeight="1" x14ac:dyDescent="0.35">
      <c r="A29" t="s">
        <v>41</v>
      </c>
      <c r="B29" s="3">
        <v>46023</v>
      </c>
      <c r="C29" t="s">
        <v>19</v>
      </c>
      <c r="E29" s="4">
        <v>295.77999999999997</v>
      </c>
      <c r="F29" s="4">
        <v>0</v>
      </c>
      <c r="G29" t="s">
        <v>10</v>
      </c>
    </row>
    <row r="30" spans="1:7" ht="15" customHeight="1" x14ac:dyDescent="0.35">
      <c r="A30" t="s">
        <v>42</v>
      </c>
      <c r="B30" s="3"/>
      <c r="C30" t="s">
        <v>16</v>
      </c>
      <c r="D30">
        <v>78</v>
      </c>
      <c r="E30" s="4">
        <v>544.99</v>
      </c>
      <c r="F30" s="4">
        <v>4764.9799999999996</v>
      </c>
      <c r="G30" t="s">
        <v>17</v>
      </c>
    </row>
    <row r="31" spans="1:7" ht="15" customHeight="1" x14ac:dyDescent="0.35">
      <c r="A31" t="s">
        <v>43</v>
      </c>
      <c r="B31" s="3">
        <v>45779</v>
      </c>
      <c r="C31" t="s">
        <v>9</v>
      </c>
      <c r="D31">
        <v>26</v>
      </c>
      <c r="E31" s="4">
        <v>520.04</v>
      </c>
      <c r="F31" s="4">
        <v>0</v>
      </c>
      <c r="G31" t="s">
        <v>10</v>
      </c>
    </row>
    <row r="32" spans="1:7" ht="15" customHeight="1" x14ac:dyDescent="0.35">
      <c r="A32" t="s">
        <v>44</v>
      </c>
      <c r="B32" s="3">
        <v>46163</v>
      </c>
      <c r="C32" t="s">
        <v>16</v>
      </c>
      <c r="D32">
        <v>32</v>
      </c>
      <c r="E32" s="4">
        <v>474.45</v>
      </c>
      <c r="F32" s="4"/>
      <c r="G32" t="s">
        <v>10</v>
      </c>
    </row>
    <row r="33" spans="1:7" ht="15" customHeight="1" x14ac:dyDescent="0.35">
      <c r="A33" t="s">
        <v>36</v>
      </c>
      <c r="B33" s="3">
        <v>46051</v>
      </c>
      <c r="C33" t="s">
        <v>19</v>
      </c>
      <c r="D33">
        <v>44</v>
      </c>
      <c r="E33" s="4">
        <v>387.98</v>
      </c>
      <c r="F33" s="4">
        <v>0</v>
      </c>
      <c r="G33" t="s">
        <v>10</v>
      </c>
    </row>
    <row r="34" spans="1:7" ht="15" customHeight="1" x14ac:dyDescent="0.35">
      <c r="A34" t="s">
        <v>45</v>
      </c>
      <c r="B34" s="3">
        <v>46181</v>
      </c>
      <c r="C34" t="s">
        <v>9</v>
      </c>
      <c r="D34">
        <v>30</v>
      </c>
      <c r="E34" s="4">
        <v>330.06</v>
      </c>
      <c r="F34" s="4">
        <v>4200.25</v>
      </c>
      <c r="G34" t="s">
        <v>30</v>
      </c>
    </row>
    <row r="35" spans="1:7" ht="15" customHeight="1" x14ac:dyDescent="0.35">
      <c r="A35" t="s">
        <v>46</v>
      </c>
      <c r="B35" s="3">
        <v>45669</v>
      </c>
      <c r="C35" t="s">
        <v>12</v>
      </c>
      <c r="D35">
        <v>35</v>
      </c>
      <c r="E35" s="4">
        <v>349.9</v>
      </c>
      <c r="F35" s="4">
        <v>2428.09</v>
      </c>
      <c r="G35" t="s">
        <v>30</v>
      </c>
    </row>
    <row r="36" spans="1:7" ht="15" customHeight="1" x14ac:dyDescent="0.35">
      <c r="A36" t="s">
        <v>47</v>
      </c>
      <c r="B36" s="3">
        <v>46213</v>
      </c>
      <c r="C36" t="s">
        <v>19</v>
      </c>
      <c r="D36">
        <v>32</v>
      </c>
      <c r="E36" s="4">
        <v>406.97</v>
      </c>
      <c r="F36" s="4">
        <v>2363.8200000000002</v>
      </c>
      <c r="G36" t="s">
        <v>17</v>
      </c>
    </row>
    <row r="37" spans="1:7" ht="15" customHeight="1" x14ac:dyDescent="0.35">
      <c r="B37" s="3">
        <v>46173</v>
      </c>
      <c r="C37" t="s">
        <v>9</v>
      </c>
      <c r="D37">
        <v>66</v>
      </c>
      <c r="E37" s="4">
        <v>417.88</v>
      </c>
      <c r="F37" s="4">
        <v>2533.1999999999998</v>
      </c>
      <c r="G37" t="s">
        <v>13</v>
      </c>
    </row>
    <row r="38" spans="1:7" ht="15" customHeight="1" x14ac:dyDescent="0.35">
      <c r="A38" t="s">
        <v>48</v>
      </c>
      <c r="B38" s="3">
        <v>45775</v>
      </c>
      <c r="C38" t="s">
        <v>9</v>
      </c>
      <c r="D38">
        <v>79</v>
      </c>
      <c r="E38" s="4">
        <v>443.35</v>
      </c>
      <c r="F38" s="4">
        <v>2545.8200000000002</v>
      </c>
      <c r="G38" t="s">
        <v>30</v>
      </c>
    </row>
    <row r="39" spans="1:7" ht="15" customHeight="1" x14ac:dyDescent="0.35">
      <c r="A39" t="s">
        <v>49</v>
      </c>
      <c r="B39" s="3">
        <v>46081</v>
      </c>
      <c r="C39" t="s">
        <v>9</v>
      </c>
      <c r="D39">
        <v>64</v>
      </c>
      <c r="E39" s="4">
        <v>368.33</v>
      </c>
      <c r="F39" s="4">
        <v>3048.84</v>
      </c>
      <c r="G39" t="s">
        <v>17</v>
      </c>
    </row>
    <row r="40" spans="1:7" ht="15" customHeight="1" x14ac:dyDescent="0.35">
      <c r="A40" t="s">
        <v>50</v>
      </c>
      <c r="B40" s="3">
        <v>45688</v>
      </c>
      <c r="C40" t="s">
        <v>9</v>
      </c>
      <c r="D40">
        <v>51</v>
      </c>
      <c r="E40" s="4">
        <v>426.82</v>
      </c>
      <c r="F40" s="4"/>
      <c r="G40" t="s">
        <v>10</v>
      </c>
    </row>
    <row r="41" spans="1:7" ht="15" customHeight="1" x14ac:dyDescent="0.35">
      <c r="A41" t="s">
        <v>51</v>
      </c>
      <c r="B41" s="3">
        <v>45853</v>
      </c>
      <c r="C41" t="s">
        <v>12</v>
      </c>
      <c r="D41">
        <v>49</v>
      </c>
      <c r="E41" s="4">
        <v>315.51</v>
      </c>
      <c r="F41" s="4">
        <v>0</v>
      </c>
      <c r="G41" t="s">
        <v>10</v>
      </c>
    </row>
    <row r="42" spans="1:7" ht="15" customHeight="1" x14ac:dyDescent="0.35">
      <c r="A42" t="s">
        <v>52</v>
      </c>
      <c r="B42" s="3">
        <v>45964</v>
      </c>
      <c r="C42" t="s">
        <v>12</v>
      </c>
      <c r="D42">
        <v>45</v>
      </c>
      <c r="E42" s="4">
        <v>281.16000000000003</v>
      </c>
      <c r="F42" s="4">
        <v>1217.3900000000001</v>
      </c>
      <c r="G42" t="s">
        <v>13</v>
      </c>
    </row>
    <row r="43" spans="1:7" ht="15" customHeight="1" x14ac:dyDescent="0.35">
      <c r="A43" t="s">
        <v>53</v>
      </c>
      <c r="B43" s="3">
        <v>45981</v>
      </c>
      <c r="C43" t="s">
        <v>9</v>
      </c>
      <c r="D43">
        <v>75</v>
      </c>
      <c r="E43" s="4">
        <v>405.17</v>
      </c>
      <c r="F43" s="4"/>
      <c r="G43" t="s">
        <v>17</v>
      </c>
    </row>
    <row r="44" spans="1:7" ht="15" customHeight="1" x14ac:dyDescent="0.35">
      <c r="A44" t="s">
        <v>54</v>
      </c>
      <c r="B44" s="3">
        <v>46084</v>
      </c>
      <c r="C44" t="s">
        <v>19</v>
      </c>
      <c r="D44">
        <v>65</v>
      </c>
      <c r="E44" s="4">
        <v>261.13</v>
      </c>
      <c r="F44" s="4">
        <v>0</v>
      </c>
    </row>
    <row r="45" spans="1:7" ht="15" customHeight="1" x14ac:dyDescent="0.35">
      <c r="A45" t="s">
        <v>55</v>
      </c>
      <c r="B45" s="3">
        <v>45815</v>
      </c>
      <c r="C45" t="s">
        <v>12</v>
      </c>
      <c r="D45">
        <v>70</v>
      </c>
      <c r="E45" s="4">
        <v>311.04000000000002</v>
      </c>
      <c r="F45" s="4">
        <v>1604.63</v>
      </c>
      <c r="G45" t="s">
        <v>17</v>
      </c>
    </row>
    <row r="46" spans="1:7" ht="15" customHeight="1" x14ac:dyDescent="0.35">
      <c r="A46" t="s">
        <v>56</v>
      </c>
      <c r="B46" s="3">
        <v>45696</v>
      </c>
      <c r="C46" t="s">
        <v>12</v>
      </c>
      <c r="D46">
        <v>43</v>
      </c>
      <c r="E46" s="4">
        <v>303.7</v>
      </c>
      <c r="F46" s="4">
        <v>0</v>
      </c>
      <c r="G46" t="s">
        <v>10</v>
      </c>
    </row>
    <row r="47" spans="1:7" ht="15" customHeight="1" x14ac:dyDescent="0.35">
      <c r="A47" t="s">
        <v>57</v>
      </c>
      <c r="B47" s="3">
        <v>45978</v>
      </c>
      <c r="C47" t="s">
        <v>58</v>
      </c>
      <c r="D47">
        <v>66</v>
      </c>
      <c r="E47" s="4">
        <v>311.29000000000002</v>
      </c>
      <c r="F47" s="4">
        <v>4518.0200000000004</v>
      </c>
      <c r="G47" t="s">
        <v>59</v>
      </c>
    </row>
    <row r="48" spans="1:7" ht="15" customHeight="1" x14ac:dyDescent="0.35">
      <c r="B48" s="3">
        <v>45892</v>
      </c>
      <c r="C48" t="s">
        <v>19</v>
      </c>
      <c r="D48">
        <v>54</v>
      </c>
      <c r="E48" s="4">
        <v>291.02</v>
      </c>
      <c r="F48" s="4">
        <v>0</v>
      </c>
      <c r="G48" t="s">
        <v>10</v>
      </c>
    </row>
    <row r="49" spans="1:7" ht="15" customHeight="1" x14ac:dyDescent="0.35">
      <c r="A49" t="s">
        <v>60</v>
      </c>
      <c r="B49" s="3">
        <v>46220</v>
      </c>
      <c r="C49" t="s">
        <v>40</v>
      </c>
      <c r="D49">
        <v>54</v>
      </c>
      <c r="E49" s="4">
        <v>124.69</v>
      </c>
      <c r="F49" s="4">
        <v>0</v>
      </c>
      <c r="G49" t="s">
        <v>10</v>
      </c>
    </row>
    <row r="50" spans="1:7" ht="15" customHeight="1" x14ac:dyDescent="0.35">
      <c r="A50" t="s">
        <v>61</v>
      </c>
      <c r="B50" s="3">
        <v>46142</v>
      </c>
      <c r="C50" t="s">
        <v>12</v>
      </c>
      <c r="D50">
        <v>26</v>
      </c>
      <c r="E50" s="4">
        <v>318.95999999999998</v>
      </c>
      <c r="F50" s="4">
        <v>1183.3499999999999</v>
      </c>
      <c r="G50" t="s">
        <v>17</v>
      </c>
    </row>
    <row r="51" spans="1:7" ht="15" customHeight="1" x14ac:dyDescent="0.35">
      <c r="A51" t="s">
        <v>62</v>
      </c>
      <c r="B51" s="3">
        <v>45722</v>
      </c>
      <c r="C51" t="s">
        <v>12</v>
      </c>
      <c r="D51">
        <v>64</v>
      </c>
      <c r="E51" s="4">
        <v>219.5</v>
      </c>
      <c r="F51" s="4">
        <v>2386.9</v>
      </c>
      <c r="G51" t="s">
        <v>13</v>
      </c>
    </row>
    <row r="52" spans="1:7" ht="15" customHeight="1" x14ac:dyDescent="0.35">
      <c r="A52" t="s">
        <v>63</v>
      </c>
      <c r="B52" s="3">
        <v>45947</v>
      </c>
      <c r="C52" t="s">
        <v>19</v>
      </c>
      <c r="D52">
        <v>63</v>
      </c>
      <c r="E52" s="4"/>
      <c r="F52" s="4">
        <v>1208.42</v>
      </c>
      <c r="G52" t="s">
        <v>13</v>
      </c>
    </row>
    <row r="53" spans="1:7" ht="15" customHeight="1" x14ac:dyDescent="0.35">
      <c r="A53" t="s">
        <v>64</v>
      </c>
      <c r="B53" s="3">
        <v>45866</v>
      </c>
      <c r="C53" t="s">
        <v>16</v>
      </c>
      <c r="D53">
        <v>43</v>
      </c>
      <c r="E53" s="4">
        <v>367.06</v>
      </c>
      <c r="F53" s="4">
        <v>2244.89</v>
      </c>
      <c r="G53" t="s">
        <v>30</v>
      </c>
    </row>
    <row r="54" spans="1:7" ht="15" customHeight="1" x14ac:dyDescent="0.35">
      <c r="A54" t="s">
        <v>65</v>
      </c>
      <c r="B54" s="3">
        <v>45815</v>
      </c>
      <c r="C54" t="s">
        <v>12</v>
      </c>
      <c r="E54" s="4">
        <v>279.19</v>
      </c>
      <c r="F54" s="4">
        <v>0</v>
      </c>
      <c r="G54" t="s">
        <v>10</v>
      </c>
    </row>
    <row r="55" spans="1:7" ht="15" customHeight="1" x14ac:dyDescent="0.35">
      <c r="A55" t="s">
        <v>66</v>
      </c>
      <c r="B55" s="3">
        <v>46183</v>
      </c>
      <c r="C55" t="s">
        <v>9</v>
      </c>
      <c r="D55">
        <v>73</v>
      </c>
      <c r="E55" s="4">
        <v>521.42999999999995</v>
      </c>
      <c r="F55" s="4">
        <v>0</v>
      </c>
      <c r="G55" t="s">
        <v>10</v>
      </c>
    </row>
    <row r="56" spans="1:7" ht="15" customHeight="1" x14ac:dyDescent="0.35">
      <c r="A56" t="s">
        <v>67</v>
      </c>
      <c r="B56" s="3">
        <v>46179</v>
      </c>
      <c r="C56" t="s">
        <v>12</v>
      </c>
      <c r="D56">
        <v>38</v>
      </c>
      <c r="E56" s="4">
        <v>316.89999999999998</v>
      </c>
      <c r="F56" s="4">
        <v>2895.16</v>
      </c>
      <c r="G56" t="s">
        <v>30</v>
      </c>
    </row>
    <row r="57" spans="1:7" ht="15" customHeight="1" x14ac:dyDescent="0.35">
      <c r="A57" t="s">
        <v>68</v>
      </c>
      <c r="B57" s="3">
        <v>45963</v>
      </c>
      <c r="C57" t="s">
        <v>40</v>
      </c>
      <c r="D57">
        <v>47</v>
      </c>
      <c r="E57" s="4">
        <v>86.6</v>
      </c>
      <c r="F57" s="4">
        <v>0</v>
      </c>
      <c r="G57" t="s">
        <v>10</v>
      </c>
    </row>
    <row r="58" spans="1:7" ht="15" customHeight="1" x14ac:dyDescent="0.35">
      <c r="A58" t="s">
        <v>69</v>
      </c>
      <c r="B58" s="3">
        <v>45782</v>
      </c>
      <c r="C58" t="s">
        <v>12</v>
      </c>
      <c r="D58">
        <v>32</v>
      </c>
      <c r="E58" s="4">
        <v>216.38</v>
      </c>
      <c r="F58" s="4">
        <v>0</v>
      </c>
      <c r="G58" t="s">
        <v>10</v>
      </c>
    </row>
    <row r="59" spans="1:7" ht="15" customHeight="1" x14ac:dyDescent="0.35">
      <c r="A59" t="s">
        <v>70</v>
      </c>
      <c r="B59" s="3">
        <v>45858</v>
      </c>
      <c r="C59" t="s">
        <v>12</v>
      </c>
      <c r="D59">
        <v>50</v>
      </c>
      <c r="E59" s="4">
        <v>268.77999999999997</v>
      </c>
      <c r="F59" s="4">
        <v>1721</v>
      </c>
      <c r="G59" t="s">
        <v>13</v>
      </c>
    </row>
    <row r="60" spans="1:7" ht="15" customHeight="1" x14ac:dyDescent="0.35">
      <c r="A60" t="s">
        <v>71</v>
      </c>
      <c r="B60" s="3">
        <v>46219</v>
      </c>
      <c r="C60" t="s">
        <v>19</v>
      </c>
      <c r="D60">
        <v>36</v>
      </c>
      <c r="E60" s="4">
        <v>381.59</v>
      </c>
      <c r="F60" s="4">
        <v>0</v>
      </c>
      <c r="G60" t="s">
        <v>10</v>
      </c>
    </row>
    <row r="61" spans="1:7" ht="15" customHeight="1" x14ac:dyDescent="0.35">
      <c r="A61" t="s">
        <v>72</v>
      </c>
      <c r="B61" s="3">
        <v>45854</v>
      </c>
      <c r="C61" t="s">
        <v>19</v>
      </c>
      <c r="D61">
        <v>40</v>
      </c>
      <c r="E61" s="4"/>
      <c r="F61" s="4">
        <v>3273.23</v>
      </c>
      <c r="G61" t="s">
        <v>17</v>
      </c>
    </row>
    <row r="62" spans="1:7" ht="15" customHeight="1" x14ac:dyDescent="0.35">
      <c r="A62" t="s">
        <v>60</v>
      </c>
      <c r="B62" s="3">
        <v>46220</v>
      </c>
      <c r="C62" t="s">
        <v>40</v>
      </c>
      <c r="D62">
        <v>54</v>
      </c>
      <c r="E62" s="4">
        <v>124.69</v>
      </c>
      <c r="F62" s="4">
        <v>0</v>
      </c>
      <c r="G62" t="s">
        <v>10</v>
      </c>
    </row>
    <row r="63" spans="1:7" ht="15" customHeight="1" x14ac:dyDescent="0.35">
      <c r="A63" t="s">
        <v>73</v>
      </c>
      <c r="B63" s="3">
        <v>45837</v>
      </c>
      <c r="D63">
        <v>24</v>
      </c>
      <c r="E63" s="4">
        <v>319.16000000000003</v>
      </c>
      <c r="F63" s="4">
        <v>0</v>
      </c>
      <c r="G63" t="s">
        <v>10</v>
      </c>
    </row>
    <row r="64" spans="1:7" ht="15" customHeight="1" x14ac:dyDescent="0.35">
      <c r="A64" t="s">
        <v>74</v>
      </c>
      <c r="B64" s="3">
        <v>46169</v>
      </c>
      <c r="C64" t="s">
        <v>16</v>
      </c>
      <c r="D64">
        <v>68</v>
      </c>
      <c r="E64" s="4">
        <v>389.3</v>
      </c>
      <c r="F64" s="4">
        <v>3463.86</v>
      </c>
      <c r="G64" t="s">
        <v>13</v>
      </c>
    </row>
    <row r="65" spans="1:7" ht="15" customHeight="1" x14ac:dyDescent="0.35">
      <c r="A65" t="s">
        <v>75</v>
      </c>
      <c r="B65" s="3">
        <v>45800</v>
      </c>
      <c r="C65" t="s">
        <v>9</v>
      </c>
      <c r="D65">
        <v>31</v>
      </c>
      <c r="E65" s="4">
        <v>478.58</v>
      </c>
      <c r="F65" s="4">
        <v>0</v>
      </c>
      <c r="G65" t="s">
        <v>10</v>
      </c>
    </row>
    <row r="66" spans="1:7" ht="15" customHeight="1" x14ac:dyDescent="0.35">
      <c r="A66" t="s">
        <v>76</v>
      </c>
      <c r="B66" s="3">
        <v>46009</v>
      </c>
      <c r="C66" t="s">
        <v>19</v>
      </c>
      <c r="D66">
        <v>43</v>
      </c>
      <c r="E66" s="4">
        <v>328.07</v>
      </c>
      <c r="F66" s="4">
        <v>2881.08</v>
      </c>
      <c r="G66" t="s">
        <v>17</v>
      </c>
    </row>
    <row r="67" spans="1:7" ht="15" customHeight="1" x14ac:dyDescent="0.35">
      <c r="A67" t="s">
        <v>77</v>
      </c>
      <c r="B67" s="3">
        <v>45924</v>
      </c>
      <c r="C67" t="s">
        <v>19</v>
      </c>
      <c r="D67">
        <v>48</v>
      </c>
      <c r="E67" s="4">
        <v>378.18</v>
      </c>
      <c r="F67" s="4">
        <v>1792.67</v>
      </c>
      <c r="G67" t="s">
        <v>17</v>
      </c>
    </row>
    <row r="68" spans="1:7" ht="15" customHeight="1" x14ac:dyDescent="0.35">
      <c r="A68" t="s">
        <v>78</v>
      </c>
      <c r="B68" s="3">
        <v>45861</v>
      </c>
      <c r="C68" t="s">
        <v>19</v>
      </c>
      <c r="D68">
        <v>28</v>
      </c>
      <c r="E68" s="4">
        <v>354.35</v>
      </c>
      <c r="F68" s="4">
        <v>847.39</v>
      </c>
      <c r="G68" t="s">
        <v>13</v>
      </c>
    </row>
    <row r="69" spans="1:7" ht="15" customHeight="1" x14ac:dyDescent="0.35">
      <c r="A69" t="s">
        <v>79</v>
      </c>
      <c r="B69" s="3">
        <v>45739</v>
      </c>
      <c r="C69" t="s">
        <v>19</v>
      </c>
      <c r="D69">
        <v>26</v>
      </c>
      <c r="E69" s="4">
        <v>281.97000000000003</v>
      </c>
      <c r="F69" s="4">
        <v>1052.21</v>
      </c>
      <c r="G69" t="s">
        <v>13</v>
      </c>
    </row>
    <row r="70" spans="1:7" ht="15" customHeight="1" x14ac:dyDescent="0.35">
      <c r="A70" t="s">
        <v>80</v>
      </c>
      <c r="B70" s="3">
        <v>46023</v>
      </c>
      <c r="C70" t="s">
        <v>19</v>
      </c>
      <c r="D70">
        <v>26</v>
      </c>
      <c r="E70" s="4">
        <v>331.25</v>
      </c>
      <c r="F70" s="4"/>
      <c r="G70" t="s">
        <v>10</v>
      </c>
    </row>
    <row r="71" spans="1:7" ht="15" customHeight="1" x14ac:dyDescent="0.35">
      <c r="A71" t="s">
        <v>81</v>
      </c>
      <c r="B71" s="3">
        <v>45847</v>
      </c>
      <c r="C71" t="s">
        <v>19</v>
      </c>
      <c r="D71">
        <v>28</v>
      </c>
      <c r="E71" s="4">
        <v>347.04</v>
      </c>
      <c r="F71" s="4">
        <v>1963.68</v>
      </c>
      <c r="G71" t="s">
        <v>17</v>
      </c>
    </row>
    <row r="72" spans="1:7" ht="15" customHeight="1" x14ac:dyDescent="0.35">
      <c r="A72" t="s">
        <v>82</v>
      </c>
      <c r="B72" s="3">
        <v>45707</v>
      </c>
      <c r="D72">
        <v>40</v>
      </c>
      <c r="E72" s="4">
        <v>540.37</v>
      </c>
      <c r="F72" s="4">
        <v>0</v>
      </c>
      <c r="G72" t="s">
        <v>10</v>
      </c>
    </row>
    <row r="73" spans="1:7" ht="15" customHeight="1" x14ac:dyDescent="0.35">
      <c r="A73" t="s">
        <v>83</v>
      </c>
      <c r="B73" s="3">
        <v>46042</v>
      </c>
      <c r="C73" t="s">
        <v>19</v>
      </c>
      <c r="D73">
        <v>53</v>
      </c>
      <c r="E73" s="4">
        <v>272.26</v>
      </c>
      <c r="F73" s="4">
        <v>3211.55</v>
      </c>
      <c r="G73" t="s">
        <v>30</v>
      </c>
    </row>
    <row r="74" spans="1:7" ht="15" customHeight="1" x14ac:dyDescent="0.35">
      <c r="A74" t="s">
        <v>84</v>
      </c>
      <c r="B74" s="3">
        <v>45822</v>
      </c>
      <c r="C74" t="s">
        <v>16</v>
      </c>
      <c r="D74">
        <v>66</v>
      </c>
      <c r="E74" s="4">
        <v>339.61</v>
      </c>
      <c r="F74" s="4">
        <v>0</v>
      </c>
      <c r="G74" t="s">
        <v>10</v>
      </c>
    </row>
    <row r="75" spans="1:7" ht="15" customHeight="1" x14ac:dyDescent="0.35">
      <c r="A75" t="s">
        <v>85</v>
      </c>
      <c r="B75" s="3">
        <v>46168</v>
      </c>
      <c r="C75" t="s">
        <v>86</v>
      </c>
      <c r="D75">
        <v>20</v>
      </c>
      <c r="E75" s="4">
        <v>288.16000000000003</v>
      </c>
      <c r="F75" s="4">
        <v>0</v>
      </c>
      <c r="G75" t="s">
        <v>10</v>
      </c>
    </row>
    <row r="76" spans="1:7" ht="15" customHeight="1" x14ac:dyDescent="0.35">
      <c r="A76" t="s">
        <v>87</v>
      </c>
      <c r="B76" s="3">
        <v>46176</v>
      </c>
      <c r="C76" t="s">
        <v>19</v>
      </c>
      <c r="D76">
        <v>23</v>
      </c>
      <c r="E76" s="4">
        <v>257.3</v>
      </c>
      <c r="F76" s="4">
        <v>3790.15</v>
      </c>
      <c r="G76" t="s">
        <v>30</v>
      </c>
    </row>
    <row r="77" spans="1:7" ht="15" customHeight="1" x14ac:dyDescent="0.35">
      <c r="A77" t="s">
        <v>88</v>
      </c>
      <c r="B77" s="3">
        <v>46188</v>
      </c>
      <c r="C77" t="s">
        <v>19</v>
      </c>
      <c r="D77">
        <v>23</v>
      </c>
      <c r="E77" s="4">
        <v>364.44</v>
      </c>
      <c r="F77" s="4">
        <v>1228.1099999999999</v>
      </c>
      <c r="G77" t="s">
        <v>30</v>
      </c>
    </row>
    <row r="78" spans="1:7" ht="15" customHeight="1" x14ac:dyDescent="0.35">
      <c r="A78" t="s">
        <v>89</v>
      </c>
      <c r="B78" s="3">
        <v>46077</v>
      </c>
      <c r="C78" t="s">
        <v>19</v>
      </c>
      <c r="D78">
        <v>59</v>
      </c>
      <c r="E78" s="4">
        <v>328.52</v>
      </c>
      <c r="F78" s="4">
        <v>936.07</v>
      </c>
      <c r="G78" t="s">
        <v>17</v>
      </c>
    </row>
    <row r="79" spans="1:7" ht="15" customHeight="1" x14ac:dyDescent="0.35">
      <c r="A79" t="s">
        <v>90</v>
      </c>
      <c r="B79" s="3"/>
      <c r="C79" t="s">
        <v>9</v>
      </c>
      <c r="D79">
        <v>43</v>
      </c>
      <c r="E79" s="4">
        <v>530.28</v>
      </c>
      <c r="F79" s="4">
        <v>0</v>
      </c>
      <c r="G79" t="s">
        <v>10</v>
      </c>
    </row>
    <row r="80" spans="1:7" ht="15" customHeight="1" x14ac:dyDescent="0.35">
      <c r="A80" t="s">
        <v>91</v>
      </c>
      <c r="B80" s="3">
        <v>46103</v>
      </c>
      <c r="C80" t="s">
        <v>9</v>
      </c>
      <c r="D80">
        <v>40</v>
      </c>
      <c r="E80" s="4">
        <v>341.79</v>
      </c>
      <c r="F80" s="4">
        <v>2422.46</v>
      </c>
      <c r="G80" t="s">
        <v>17</v>
      </c>
    </row>
    <row r="81" spans="1:7" ht="15" customHeight="1" x14ac:dyDescent="0.35">
      <c r="A81" t="s">
        <v>92</v>
      </c>
      <c r="B81" s="3">
        <v>46076</v>
      </c>
      <c r="C81" t="s">
        <v>12</v>
      </c>
      <c r="E81" s="4">
        <v>245.28</v>
      </c>
      <c r="F81" s="4">
        <v>2676.35</v>
      </c>
      <c r="G81" t="s">
        <v>13</v>
      </c>
    </row>
    <row r="82" spans="1:7" ht="15" customHeight="1" x14ac:dyDescent="0.35">
      <c r="A82" t="s">
        <v>93</v>
      </c>
      <c r="B82" s="3">
        <v>46056</v>
      </c>
      <c r="C82" t="s">
        <v>19</v>
      </c>
      <c r="D82">
        <v>24</v>
      </c>
      <c r="E82" s="4">
        <v>387.6</v>
      </c>
      <c r="F82" s="4">
        <v>0</v>
      </c>
      <c r="G82" t="s">
        <v>10</v>
      </c>
    </row>
    <row r="83" spans="1:7" ht="15" customHeight="1" x14ac:dyDescent="0.35">
      <c r="A83" t="s">
        <v>94</v>
      </c>
      <c r="B83" s="3">
        <v>46081</v>
      </c>
      <c r="D83">
        <v>42</v>
      </c>
      <c r="E83" s="4">
        <v>122.56</v>
      </c>
      <c r="F83" s="4">
        <v>926.1</v>
      </c>
      <c r="G83" t="s">
        <v>17</v>
      </c>
    </row>
    <row r="84" spans="1:7" ht="15" customHeight="1" x14ac:dyDescent="0.35">
      <c r="A84" t="s">
        <v>95</v>
      </c>
      <c r="B84" s="3">
        <v>46208</v>
      </c>
      <c r="C84" t="s">
        <v>12</v>
      </c>
      <c r="D84">
        <v>57</v>
      </c>
      <c r="E84" s="4">
        <v>238.14</v>
      </c>
      <c r="F84" s="4">
        <v>1683.8</v>
      </c>
      <c r="G84" t="s">
        <v>17</v>
      </c>
    </row>
    <row r="85" spans="1:7" ht="15" customHeight="1" x14ac:dyDescent="0.35">
      <c r="A85" t="s">
        <v>96</v>
      </c>
      <c r="B85" s="3">
        <v>45679</v>
      </c>
      <c r="C85" t="s">
        <v>19</v>
      </c>
      <c r="D85">
        <v>46</v>
      </c>
      <c r="E85" s="4">
        <v>373.85</v>
      </c>
      <c r="F85" s="4">
        <v>2753.69</v>
      </c>
      <c r="G85" t="s">
        <v>30</v>
      </c>
    </row>
    <row r="86" spans="1:7" ht="15" customHeight="1" x14ac:dyDescent="0.35">
      <c r="A86" t="s">
        <v>97</v>
      </c>
      <c r="B86" s="3">
        <v>46028</v>
      </c>
      <c r="C86" t="s">
        <v>9</v>
      </c>
      <c r="D86">
        <v>24</v>
      </c>
      <c r="E86" s="4">
        <v>382.95</v>
      </c>
      <c r="F86" s="4">
        <v>0</v>
      </c>
      <c r="G86" t="s">
        <v>10</v>
      </c>
    </row>
    <row r="87" spans="1:7" ht="15" customHeight="1" x14ac:dyDescent="0.35">
      <c r="A87" t="s">
        <v>98</v>
      </c>
      <c r="B87" s="3">
        <v>46157</v>
      </c>
      <c r="C87" t="s">
        <v>19</v>
      </c>
      <c r="D87">
        <v>40</v>
      </c>
      <c r="E87" s="4">
        <v>273.89</v>
      </c>
      <c r="F87" s="4">
        <v>0</v>
      </c>
      <c r="G87" t="s">
        <v>10</v>
      </c>
    </row>
    <row r="88" spans="1:7" ht="15" customHeight="1" x14ac:dyDescent="0.35">
      <c r="A88" t="s">
        <v>99</v>
      </c>
      <c r="B88" s="3">
        <v>46195</v>
      </c>
      <c r="C88" t="s">
        <v>19</v>
      </c>
      <c r="D88">
        <v>18</v>
      </c>
      <c r="E88" s="4">
        <v>358.91</v>
      </c>
      <c r="F88" s="4">
        <v>0</v>
      </c>
      <c r="G88" t="s">
        <v>10</v>
      </c>
    </row>
    <row r="89" spans="1:7" ht="15" customHeight="1" x14ac:dyDescent="0.35">
      <c r="A89" t="s">
        <v>100</v>
      </c>
      <c r="B89" s="3">
        <v>46185</v>
      </c>
      <c r="C89" t="s">
        <v>12</v>
      </c>
      <c r="D89">
        <v>43</v>
      </c>
      <c r="E89" s="4">
        <v>252.48</v>
      </c>
      <c r="F89" s="4">
        <v>-10</v>
      </c>
      <c r="G89" t="s">
        <v>13</v>
      </c>
    </row>
    <row r="90" spans="1:7" ht="15" customHeight="1" x14ac:dyDescent="0.35">
      <c r="A90" t="s">
        <v>101</v>
      </c>
      <c r="B90" s="3">
        <v>46205</v>
      </c>
      <c r="C90" t="s">
        <v>9</v>
      </c>
      <c r="D90">
        <v>22</v>
      </c>
      <c r="E90" s="4">
        <v>361.98</v>
      </c>
      <c r="F90" s="4">
        <v>0</v>
      </c>
      <c r="G90" t="s">
        <v>10</v>
      </c>
    </row>
    <row r="91" spans="1:7" ht="15" customHeight="1" x14ac:dyDescent="0.35">
      <c r="A91" t="s">
        <v>102</v>
      </c>
      <c r="B91" s="3">
        <v>45939</v>
      </c>
      <c r="C91" t="s">
        <v>19</v>
      </c>
      <c r="D91">
        <v>40</v>
      </c>
      <c r="E91" s="4">
        <v>343.61</v>
      </c>
      <c r="F91" s="4"/>
      <c r="G91" t="s">
        <v>17</v>
      </c>
    </row>
    <row r="92" spans="1:7" ht="15" customHeight="1" x14ac:dyDescent="0.35">
      <c r="A92" t="s">
        <v>103</v>
      </c>
      <c r="B92" s="3">
        <v>45732</v>
      </c>
      <c r="C92" t="s">
        <v>9</v>
      </c>
      <c r="D92">
        <v>77</v>
      </c>
      <c r="E92" s="4">
        <v>416.49</v>
      </c>
      <c r="F92" s="4">
        <v>0</v>
      </c>
    </row>
    <row r="93" spans="1:7" ht="15" customHeight="1" x14ac:dyDescent="0.35">
      <c r="A93" t="s">
        <v>104</v>
      </c>
      <c r="B93" s="3">
        <v>45799</v>
      </c>
      <c r="C93" t="s">
        <v>9</v>
      </c>
      <c r="D93">
        <v>26</v>
      </c>
      <c r="E93" s="4">
        <v>392.31</v>
      </c>
      <c r="F93" s="4">
        <v>0</v>
      </c>
      <c r="G93" t="s">
        <v>105</v>
      </c>
    </row>
    <row r="94" spans="1:7" ht="15" customHeight="1" x14ac:dyDescent="0.35">
      <c r="A94" t="s">
        <v>106</v>
      </c>
      <c r="B94" s="3">
        <v>45712</v>
      </c>
      <c r="C94" t="s">
        <v>12</v>
      </c>
      <c r="D94">
        <v>69</v>
      </c>
      <c r="E94" s="4">
        <v>358.44</v>
      </c>
      <c r="F94" s="4">
        <v>0</v>
      </c>
      <c r="G94" t="s">
        <v>10</v>
      </c>
    </row>
    <row r="95" spans="1:7" ht="15" customHeight="1" x14ac:dyDescent="0.35">
      <c r="A95" t="s">
        <v>107</v>
      </c>
      <c r="B95" s="3">
        <v>45892</v>
      </c>
      <c r="C95" t="s">
        <v>12</v>
      </c>
      <c r="D95">
        <v>23</v>
      </c>
      <c r="E95" s="4">
        <v>349.59</v>
      </c>
      <c r="F95" s="4">
        <v>0</v>
      </c>
      <c r="G95" t="s">
        <v>10</v>
      </c>
    </row>
    <row r="96" spans="1:7" ht="15" customHeight="1" x14ac:dyDescent="0.35">
      <c r="A96" t="s">
        <v>108</v>
      </c>
      <c r="B96" s="3">
        <v>46215</v>
      </c>
      <c r="C96" t="s">
        <v>19</v>
      </c>
      <c r="D96">
        <v>68</v>
      </c>
      <c r="E96" s="4">
        <v>386.7</v>
      </c>
      <c r="F96" s="4">
        <v>0</v>
      </c>
      <c r="G96" t="s">
        <v>10</v>
      </c>
    </row>
    <row r="97" spans="1:7" ht="15" customHeight="1" x14ac:dyDescent="0.35">
      <c r="A97" t="s">
        <v>109</v>
      </c>
      <c r="B97" s="3">
        <v>46142</v>
      </c>
      <c r="C97" t="s">
        <v>19</v>
      </c>
      <c r="D97">
        <v>22</v>
      </c>
      <c r="E97" s="4">
        <v>256.10000000000002</v>
      </c>
      <c r="F97" s="4">
        <v>0</v>
      </c>
      <c r="G97" t="s">
        <v>10</v>
      </c>
    </row>
    <row r="98" spans="1:7" ht="15" customHeight="1" x14ac:dyDescent="0.35">
      <c r="A98" t="s">
        <v>110</v>
      </c>
      <c r="B98" s="3">
        <v>45827</v>
      </c>
      <c r="C98" t="s">
        <v>16</v>
      </c>
      <c r="D98">
        <v>39</v>
      </c>
      <c r="E98" s="4">
        <v>427.93</v>
      </c>
      <c r="F98" s="4">
        <v>3110.88</v>
      </c>
    </row>
    <row r="99" spans="1:7" ht="15" customHeight="1" x14ac:dyDescent="0.35">
      <c r="A99" t="s">
        <v>111</v>
      </c>
      <c r="B99" s="3">
        <v>46136</v>
      </c>
      <c r="C99" t="s">
        <v>40</v>
      </c>
      <c r="D99">
        <v>19</v>
      </c>
      <c r="E99" s="4">
        <v>83.21</v>
      </c>
      <c r="F99" s="4">
        <v>0</v>
      </c>
      <c r="G99" t="s">
        <v>10</v>
      </c>
    </row>
    <row r="100" spans="1:7" ht="15" customHeight="1" x14ac:dyDescent="0.35">
      <c r="A100" t="s">
        <v>112</v>
      </c>
      <c r="B100" s="3">
        <v>45777</v>
      </c>
      <c r="C100" t="s">
        <v>9</v>
      </c>
      <c r="D100">
        <v>65</v>
      </c>
      <c r="E100" s="4">
        <v>413.35</v>
      </c>
      <c r="F100" s="4">
        <v>3583.53</v>
      </c>
      <c r="G100" t="s">
        <v>17</v>
      </c>
    </row>
    <row r="101" spans="1:7" ht="15" customHeight="1" x14ac:dyDescent="0.35">
      <c r="A101" t="s">
        <v>113</v>
      </c>
      <c r="B101" s="3">
        <v>46196</v>
      </c>
      <c r="C101" t="s">
        <v>9</v>
      </c>
      <c r="D101">
        <v>39</v>
      </c>
      <c r="E101" s="4">
        <v>409.35</v>
      </c>
      <c r="F101" s="4">
        <v>0</v>
      </c>
      <c r="G101" t="s">
        <v>10</v>
      </c>
    </row>
    <row r="102" spans="1:7" ht="15" customHeight="1" x14ac:dyDescent="0.35">
      <c r="A102" t="s">
        <v>114</v>
      </c>
      <c r="B102" s="3">
        <v>45957</v>
      </c>
      <c r="C102" t="s">
        <v>16</v>
      </c>
      <c r="D102">
        <v>21</v>
      </c>
      <c r="E102" s="4">
        <v>572</v>
      </c>
      <c r="F102" s="4">
        <v>0</v>
      </c>
      <c r="G102" t="s">
        <v>10</v>
      </c>
    </row>
    <row r="103" spans="1:7" ht="15" customHeight="1" x14ac:dyDescent="0.35">
      <c r="A103" t="s">
        <v>115</v>
      </c>
      <c r="B103" s="3">
        <v>45740</v>
      </c>
      <c r="C103" t="s">
        <v>40</v>
      </c>
      <c r="D103">
        <v>55</v>
      </c>
      <c r="E103" s="4"/>
      <c r="F103" s="4">
        <v>0</v>
      </c>
      <c r="G103" t="s">
        <v>10</v>
      </c>
    </row>
    <row r="104" spans="1:7" ht="15" customHeight="1" x14ac:dyDescent="0.35">
      <c r="A104" t="s">
        <v>116</v>
      </c>
      <c r="B104" s="3">
        <v>46037</v>
      </c>
      <c r="C104" t="s">
        <v>19</v>
      </c>
      <c r="D104">
        <v>74</v>
      </c>
      <c r="E104" s="4">
        <v>350.74</v>
      </c>
      <c r="F104" s="4">
        <v>0</v>
      </c>
      <c r="G104" t="s">
        <v>10</v>
      </c>
    </row>
    <row r="105" spans="1:7" ht="15" customHeight="1" x14ac:dyDescent="0.35">
      <c r="A105" t="s">
        <v>117</v>
      </c>
      <c r="B105" s="3">
        <v>46052</v>
      </c>
      <c r="C105" t="s">
        <v>19</v>
      </c>
      <c r="D105">
        <v>55</v>
      </c>
      <c r="E105" s="4">
        <v>373.58</v>
      </c>
      <c r="F105" s="4">
        <v>1362.06</v>
      </c>
      <c r="G105" t="s">
        <v>17</v>
      </c>
    </row>
    <row r="106" spans="1:7" ht="15" customHeight="1" x14ac:dyDescent="0.35">
      <c r="A106" t="s">
        <v>118</v>
      </c>
      <c r="B106" s="3">
        <v>46022</v>
      </c>
      <c r="C106" t="s">
        <v>16</v>
      </c>
      <c r="D106">
        <v>70</v>
      </c>
      <c r="E106" s="4">
        <v>542.20000000000005</v>
      </c>
      <c r="F106" s="4">
        <v>0</v>
      </c>
      <c r="G106" t="s">
        <v>10</v>
      </c>
    </row>
    <row r="107" spans="1:7" ht="15" customHeight="1" x14ac:dyDescent="0.35">
      <c r="A107" t="s">
        <v>119</v>
      </c>
      <c r="B107" s="3">
        <v>46162</v>
      </c>
      <c r="C107" t="s">
        <v>9</v>
      </c>
      <c r="E107" s="4">
        <v>512.04</v>
      </c>
      <c r="F107" s="4">
        <v>828.81</v>
      </c>
      <c r="G107" t="s">
        <v>17</v>
      </c>
    </row>
    <row r="108" spans="1:7" ht="15" customHeight="1" x14ac:dyDescent="0.35">
      <c r="A108" t="s">
        <v>120</v>
      </c>
      <c r="B108" s="3">
        <v>46050</v>
      </c>
      <c r="C108" t="s">
        <v>9</v>
      </c>
      <c r="D108">
        <v>63</v>
      </c>
      <c r="E108" s="4">
        <v>343.2</v>
      </c>
      <c r="F108" s="4">
        <v>3228.11</v>
      </c>
      <c r="G108" t="s">
        <v>13</v>
      </c>
    </row>
    <row r="109" spans="1:7" ht="15" customHeight="1" x14ac:dyDescent="0.35">
      <c r="A109" t="s">
        <v>121</v>
      </c>
      <c r="B109" s="3">
        <v>45911</v>
      </c>
      <c r="C109" t="s">
        <v>86</v>
      </c>
      <c r="D109">
        <v>31</v>
      </c>
      <c r="E109" s="4">
        <v>210.02</v>
      </c>
      <c r="F109" s="4">
        <v>0</v>
      </c>
      <c r="G109" t="s">
        <v>10</v>
      </c>
    </row>
    <row r="110" spans="1:7" ht="15" customHeight="1" x14ac:dyDescent="0.35">
      <c r="A110" t="s">
        <v>122</v>
      </c>
      <c r="B110" s="3">
        <v>45897</v>
      </c>
      <c r="C110" t="s">
        <v>12</v>
      </c>
      <c r="D110">
        <v>37</v>
      </c>
      <c r="E110" s="4">
        <v>214.36</v>
      </c>
      <c r="F110" s="4">
        <v>710.18</v>
      </c>
      <c r="G110" t="s">
        <v>30</v>
      </c>
    </row>
    <row r="111" spans="1:7" ht="15" customHeight="1" x14ac:dyDescent="0.35">
      <c r="B111" s="3" t="s">
        <v>123</v>
      </c>
      <c r="C111" t="s">
        <v>19</v>
      </c>
      <c r="D111">
        <v>24</v>
      </c>
      <c r="E111" s="4">
        <v>295.64999999999998</v>
      </c>
      <c r="F111" s="4">
        <v>0</v>
      </c>
      <c r="G111" t="s">
        <v>10</v>
      </c>
    </row>
    <row r="112" spans="1:7" ht="15" customHeight="1" x14ac:dyDescent="0.35">
      <c r="A112" t="s">
        <v>124</v>
      </c>
      <c r="B112" s="3">
        <v>45866</v>
      </c>
      <c r="C112" t="s">
        <v>16</v>
      </c>
      <c r="D112">
        <v>80</v>
      </c>
      <c r="E112" s="4">
        <v>538.52</v>
      </c>
      <c r="F112" s="4">
        <v>2781.42</v>
      </c>
    </row>
    <row r="113" spans="1:7" ht="15" customHeight="1" x14ac:dyDescent="0.35">
      <c r="A113" t="s">
        <v>125</v>
      </c>
      <c r="B113" s="3">
        <v>45741</v>
      </c>
      <c r="C113" t="s">
        <v>12</v>
      </c>
      <c r="D113">
        <v>58</v>
      </c>
      <c r="E113" s="4">
        <v>242.61</v>
      </c>
      <c r="F113" s="4">
        <v>2987.82</v>
      </c>
      <c r="G113" t="s">
        <v>17</v>
      </c>
    </row>
    <row r="114" spans="1:7" ht="15" customHeight="1" x14ac:dyDescent="0.35">
      <c r="A114" t="s">
        <v>126</v>
      </c>
      <c r="B114" s="3">
        <v>46049</v>
      </c>
      <c r="D114">
        <v>57</v>
      </c>
      <c r="E114" s="4">
        <v>344.16</v>
      </c>
      <c r="F114" s="4">
        <v>0</v>
      </c>
      <c r="G114" t="s">
        <v>10</v>
      </c>
    </row>
    <row r="115" spans="1:7" ht="15" customHeight="1" x14ac:dyDescent="0.35">
      <c r="A115" t="s">
        <v>127</v>
      </c>
      <c r="B115" s="3">
        <v>45910</v>
      </c>
      <c r="C115" t="s">
        <v>9</v>
      </c>
      <c r="D115">
        <v>33</v>
      </c>
      <c r="E115" s="4">
        <v>455.93</v>
      </c>
      <c r="F115" s="4">
        <v>4358.3999999999996</v>
      </c>
    </row>
    <row r="116" spans="1:7" ht="15" customHeight="1" x14ac:dyDescent="0.35">
      <c r="A116" t="s">
        <v>128</v>
      </c>
      <c r="B116" s="3">
        <v>45878</v>
      </c>
      <c r="C116" t="s">
        <v>16</v>
      </c>
      <c r="D116">
        <v>60</v>
      </c>
      <c r="E116" s="4">
        <v>345.58</v>
      </c>
      <c r="F116" s="4">
        <v>3094.19</v>
      </c>
      <c r="G116" t="s">
        <v>17</v>
      </c>
    </row>
    <row r="117" spans="1:7" ht="15" customHeight="1" x14ac:dyDescent="0.35">
      <c r="A117" t="s">
        <v>129</v>
      </c>
      <c r="B117" s="3">
        <v>46170</v>
      </c>
      <c r="C117" t="s">
        <v>16</v>
      </c>
      <c r="D117">
        <v>51</v>
      </c>
      <c r="E117" s="4">
        <v>387.51</v>
      </c>
      <c r="F117" s="4">
        <v>708.18</v>
      </c>
      <c r="G117" t="s">
        <v>13</v>
      </c>
    </row>
    <row r="118" spans="1:7" ht="15" customHeight="1" x14ac:dyDescent="0.35">
      <c r="A118" t="s">
        <v>130</v>
      </c>
      <c r="B118" s="3">
        <v>45789</v>
      </c>
      <c r="C118" t="s">
        <v>9</v>
      </c>
      <c r="D118">
        <v>35</v>
      </c>
      <c r="E118" s="4"/>
      <c r="F118" s="4">
        <v>0</v>
      </c>
      <c r="G118" t="s">
        <v>10</v>
      </c>
    </row>
    <row r="119" spans="1:7" ht="15" customHeight="1" x14ac:dyDescent="0.35">
      <c r="A119" t="s">
        <v>131</v>
      </c>
      <c r="B119" s="3">
        <v>46191</v>
      </c>
      <c r="C119" t="s">
        <v>19</v>
      </c>
      <c r="E119" s="4">
        <v>434.09</v>
      </c>
      <c r="F119" s="4">
        <v>541.76</v>
      </c>
      <c r="G119" t="s">
        <v>17</v>
      </c>
    </row>
    <row r="120" spans="1:7" ht="15" customHeight="1" x14ac:dyDescent="0.35">
      <c r="A120" t="s">
        <v>132</v>
      </c>
      <c r="B120" s="3">
        <v>45999</v>
      </c>
      <c r="C120" t="s">
        <v>12</v>
      </c>
      <c r="D120">
        <v>19</v>
      </c>
      <c r="E120" s="4">
        <v>358.18</v>
      </c>
      <c r="F120" s="4">
        <v>1870.3</v>
      </c>
      <c r="G120" t="s">
        <v>17</v>
      </c>
    </row>
    <row r="121" spans="1:7" ht="15" customHeight="1" x14ac:dyDescent="0.35">
      <c r="A121" t="s">
        <v>133</v>
      </c>
      <c r="B121" s="3">
        <v>46027</v>
      </c>
      <c r="C121" t="s">
        <v>16</v>
      </c>
      <c r="D121">
        <v>30</v>
      </c>
      <c r="E121" s="4">
        <v>389.49</v>
      </c>
      <c r="F121" s="4">
        <v>0</v>
      </c>
      <c r="G121" t="s">
        <v>10</v>
      </c>
    </row>
    <row r="122" spans="1:7" ht="15" customHeight="1" x14ac:dyDescent="0.35">
      <c r="A122" t="s">
        <v>134</v>
      </c>
      <c r="B122" s="3">
        <v>45915</v>
      </c>
      <c r="C122" t="s">
        <v>40</v>
      </c>
      <c r="D122">
        <v>33</v>
      </c>
      <c r="E122" s="4">
        <v>113.63</v>
      </c>
      <c r="F122" s="4">
        <v>894.28</v>
      </c>
      <c r="G122" t="s">
        <v>30</v>
      </c>
    </row>
    <row r="123" spans="1:7" ht="15" customHeight="1" x14ac:dyDescent="0.35">
      <c r="B123" s="3">
        <v>45991</v>
      </c>
      <c r="C123" t="s">
        <v>12</v>
      </c>
      <c r="D123">
        <v>10</v>
      </c>
      <c r="E123" s="4">
        <v>212.07</v>
      </c>
      <c r="F123" s="4">
        <v>2852.68</v>
      </c>
      <c r="G123" t="s">
        <v>13</v>
      </c>
    </row>
    <row r="124" spans="1:7" ht="15" customHeight="1" x14ac:dyDescent="0.35">
      <c r="A124" t="s">
        <v>135</v>
      </c>
      <c r="B124" s="3">
        <v>45660</v>
      </c>
      <c r="C124" t="s">
        <v>12</v>
      </c>
      <c r="D124">
        <v>40</v>
      </c>
      <c r="E124" s="4">
        <v>267.41000000000003</v>
      </c>
      <c r="F124" s="4">
        <v>0</v>
      </c>
      <c r="G124" t="s">
        <v>10</v>
      </c>
    </row>
    <row r="125" spans="1:7" ht="15" customHeight="1" x14ac:dyDescent="0.35">
      <c r="A125" t="s">
        <v>136</v>
      </c>
      <c r="B125" s="3">
        <v>45910</v>
      </c>
      <c r="C125" t="s">
        <v>12</v>
      </c>
      <c r="D125">
        <v>62</v>
      </c>
      <c r="E125" s="4">
        <v>241.36</v>
      </c>
      <c r="F125" s="4">
        <v>2332.4299999999998</v>
      </c>
      <c r="G125" t="s">
        <v>17</v>
      </c>
    </row>
    <row r="126" spans="1:7" ht="15" customHeight="1" x14ac:dyDescent="0.35">
      <c r="A126" t="s">
        <v>137</v>
      </c>
      <c r="B126" s="3">
        <v>46036</v>
      </c>
      <c r="C126" t="s">
        <v>9</v>
      </c>
      <c r="D126">
        <v>68</v>
      </c>
      <c r="E126" s="4">
        <v>444.17</v>
      </c>
      <c r="F126" s="4">
        <v>0</v>
      </c>
      <c r="G126" t="s">
        <v>138</v>
      </c>
    </row>
    <row r="127" spans="1:7" ht="15" customHeight="1" x14ac:dyDescent="0.35">
      <c r="A127" t="s">
        <v>139</v>
      </c>
      <c r="B127" s="3">
        <v>46130</v>
      </c>
      <c r="C127" t="s">
        <v>16</v>
      </c>
      <c r="D127">
        <v>77</v>
      </c>
      <c r="E127" s="4">
        <v>512.71</v>
      </c>
      <c r="F127" s="4">
        <v>2989.64</v>
      </c>
      <c r="G127" t="s">
        <v>30</v>
      </c>
    </row>
    <row r="128" spans="1:7" ht="15" customHeight="1" x14ac:dyDescent="0.35">
      <c r="A128" t="s">
        <v>140</v>
      </c>
      <c r="B128" s="3">
        <v>45789</v>
      </c>
      <c r="C128" t="s">
        <v>40</v>
      </c>
      <c r="D128">
        <v>19</v>
      </c>
      <c r="E128" s="4">
        <v>90.91</v>
      </c>
      <c r="F128" s="4">
        <v>849.98</v>
      </c>
    </row>
    <row r="129" spans="1:7" ht="15" customHeight="1" x14ac:dyDescent="0.35">
      <c r="A129" t="s">
        <v>141</v>
      </c>
      <c r="B129" s="3">
        <v>45997</v>
      </c>
      <c r="C129" t="s">
        <v>16</v>
      </c>
      <c r="D129">
        <v>34</v>
      </c>
      <c r="E129" s="4">
        <v>567.03</v>
      </c>
      <c r="F129" s="4">
        <v>0</v>
      </c>
      <c r="G129" t="s">
        <v>10</v>
      </c>
    </row>
    <row r="130" spans="1:7" ht="15" customHeight="1" x14ac:dyDescent="0.35">
      <c r="A130" t="s">
        <v>142</v>
      </c>
      <c r="B130" s="3">
        <v>46162</v>
      </c>
      <c r="C130" t="s">
        <v>16</v>
      </c>
      <c r="D130">
        <v>24</v>
      </c>
      <c r="E130" s="4">
        <v>485.29</v>
      </c>
      <c r="F130" s="4"/>
      <c r="G130" t="s">
        <v>17</v>
      </c>
    </row>
    <row r="131" spans="1:7" ht="15" customHeight="1" x14ac:dyDescent="0.35">
      <c r="A131" t="s">
        <v>143</v>
      </c>
      <c r="B131" s="3">
        <v>45696</v>
      </c>
      <c r="C131" t="s">
        <v>16</v>
      </c>
      <c r="D131">
        <v>37</v>
      </c>
      <c r="E131" s="4">
        <v>378.53</v>
      </c>
      <c r="F131" s="4">
        <v>0</v>
      </c>
    </row>
    <row r="132" spans="1:7" ht="15" customHeight="1" x14ac:dyDescent="0.35">
      <c r="A132" t="s">
        <v>144</v>
      </c>
      <c r="B132" s="3"/>
      <c r="C132" t="s">
        <v>12</v>
      </c>
      <c r="D132">
        <v>53</v>
      </c>
      <c r="E132" s="4">
        <v>258.06</v>
      </c>
      <c r="F132" s="4">
        <v>0</v>
      </c>
      <c r="G132" t="s">
        <v>105</v>
      </c>
    </row>
    <row r="133" spans="1:7" ht="15" customHeight="1" x14ac:dyDescent="0.35">
      <c r="A133" t="s">
        <v>145</v>
      </c>
      <c r="B133" s="3">
        <v>45966</v>
      </c>
      <c r="C133" t="s">
        <v>40</v>
      </c>
      <c r="D133">
        <v>25</v>
      </c>
      <c r="E133" s="4">
        <v>104.91</v>
      </c>
      <c r="F133" s="4">
        <v>0</v>
      </c>
      <c r="G133" t="s">
        <v>10</v>
      </c>
    </row>
    <row r="134" spans="1:7" ht="15" customHeight="1" x14ac:dyDescent="0.35">
      <c r="A134" t="s">
        <v>146</v>
      </c>
      <c r="B134" s="3">
        <v>45896</v>
      </c>
      <c r="C134" t="s">
        <v>16</v>
      </c>
      <c r="D134">
        <v>50</v>
      </c>
      <c r="E134" s="4">
        <v>451.65</v>
      </c>
      <c r="F134" s="4">
        <v>0</v>
      </c>
      <c r="G134" t="s">
        <v>10</v>
      </c>
    </row>
    <row r="135" spans="1:7" ht="15" customHeight="1" x14ac:dyDescent="0.35">
      <c r="A135" t="s">
        <v>147</v>
      </c>
      <c r="B135" s="3">
        <v>46002</v>
      </c>
      <c r="C135" t="s">
        <v>16</v>
      </c>
      <c r="D135">
        <v>39</v>
      </c>
      <c r="E135" s="4">
        <v>368.65</v>
      </c>
      <c r="F135" s="4">
        <v>0</v>
      </c>
      <c r="G135" t="s">
        <v>10</v>
      </c>
    </row>
    <row r="136" spans="1:7" ht="15" customHeight="1" x14ac:dyDescent="0.35">
      <c r="A136" t="s">
        <v>148</v>
      </c>
      <c r="B136" s="3">
        <v>46011</v>
      </c>
      <c r="D136">
        <v>79</v>
      </c>
      <c r="E136" s="4">
        <v>513.86</v>
      </c>
      <c r="F136" s="4">
        <v>0</v>
      </c>
      <c r="G136" t="s">
        <v>10</v>
      </c>
    </row>
    <row r="137" spans="1:7" ht="15" customHeight="1" x14ac:dyDescent="0.35">
      <c r="A137" t="s">
        <v>149</v>
      </c>
      <c r="B137" s="3">
        <v>45910</v>
      </c>
      <c r="C137" t="s">
        <v>12</v>
      </c>
      <c r="D137">
        <v>18</v>
      </c>
      <c r="E137" s="4">
        <v>331.71</v>
      </c>
      <c r="F137" s="4">
        <v>448.98</v>
      </c>
      <c r="G137" t="s">
        <v>17</v>
      </c>
    </row>
    <row r="138" spans="1:7" ht="15" customHeight="1" x14ac:dyDescent="0.35">
      <c r="B138" s="3">
        <v>46227</v>
      </c>
      <c r="C138" t="s">
        <v>40</v>
      </c>
      <c r="D138">
        <v>50</v>
      </c>
      <c r="E138" s="4">
        <v>90.91</v>
      </c>
      <c r="F138" s="4">
        <v>882.66</v>
      </c>
      <c r="G138" t="s">
        <v>13</v>
      </c>
    </row>
    <row r="139" spans="1:7" ht="15" customHeight="1" x14ac:dyDescent="0.35">
      <c r="A139" t="s">
        <v>150</v>
      </c>
      <c r="B139" s="3">
        <v>46193</v>
      </c>
      <c r="C139" t="s">
        <v>12</v>
      </c>
      <c r="D139">
        <v>23</v>
      </c>
      <c r="E139" s="4">
        <v>268.37</v>
      </c>
      <c r="F139" s="4">
        <v>1512.17</v>
      </c>
      <c r="G139" t="s">
        <v>30</v>
      </c>
    </row>
    <row r="140" spans="1:7" ht="15" customHeight="1" x14ac:dyDescent="0.35">
      <c r="A140" t="s">
        <v>151</v>
      </c>
      <c r="B140" s="3">
        <v>46118</v>
      </c>
      <c r="C140" t="s">
        <v>19</v>
      </c>
      <c r="D140">
        <v>18</v>
      </c>
      <c r="E140" s="4"/>
      <c r="F140" s="4">
        <v>542.70000000000005</v>
      </c>
      <c r="G140" t="s">
        <v>13</v>
      </c>
    </row>
    <row r="141" spans="1:7" ht="15" customHeight="1" x14ac:dyDescent="0.35">
      <c r="A141" t="s">
        <v>152</v>
      </c>
      <c r="B141" s="3">
        <v>46107</v>
      </c>
      <c r="C141" t="s">
        <v>16</v>
      </c>
      <c r="D141">
        <v>64</v>
      </c>
      <c r="E141" s="4">
        <v>378.39</v>
      </c>
      <c r="F141" s="4">
        <v>0</v>
      </c>
      <c r="G141" t="s">
        <v>10</v>
      </c>
    </row>
    <row r="142" spans="1:7" ht="15" customHeight="1" x14ac:dyDescent="0.35">
      <c r="A142" t="s">
        <v>153</v>
      </c>
      <c r="B142" s="3">
        <v>46129</v>
      </c>
      <c r="C142" t="s">
        <v>19</v>
      </c>
      <c r="D142">
        <v>40</v>
      </c>
      <c r="E142" s="4"/>
      <c r="F142" s="4">
        <v>0</v>
      </c>
      <c r="G142" t="s">
        <v>10</v>
      </c>
    </row>
    <row r="143" spans="1:7" ht="15" customHeight="1" x14ac:dyDescent="0.35">
      <c r="A143" t="s">
        <v>154</v>
      </c>
      <c r="B143" s="3">
        <v>45931</v>
      </c>
      <c r="C143" t="s">
        <v>12</v>
      </c>
      <c r="D143">
        <v>52</v>
      </c>
      <c r="E143" s="4">
        <v>294.49</v>
      </c>
      <c r="F143" s="4">
        <v>0</v>
      </c>
      <c r="G143" t="s">
        <v>10</v>
      </c>
    </row>
    <row r="144" spans="1:7" ht="15" customHeight="1" x14ac:dyDescent="0.35">
      <c r="A144" t="s">
        <v>155</v>
      </c>
      <c r="B144" s="3">
        <v>45945</v>
      </c>
      <c r="C144" t="s">
        <v>9</v>
      </c>
      <c r="D144">
        <v>20</v>
      </c>
      <c r="E144" s="4">
        <v>395.82</v>
      </c>
      <c r="F144" s="4">
        <v>0</v>
      </c>
      <c r="G144" t="s">
        <v>10</v>
      </c>
    </row>
    <row r="145" spans="1:7" ht="15" customHeight="1" x14ac:dyDescent="0.35">
      <c r="A145" t="s">
        <v>156</v>
      </c>
      <c r="B145" s="3">
        <v>45943</v>
      </c>
      <c r="C145" t="s">
        <v>16</v>
      </c>
      <c r="D145">
        <v>53</v>
      </c>
      <c r="E145" s="4">
        <v>381.1</v>
      </c>
      <c r="F145" s="4">
        <v>1006.99</v>
      </c>
      <c r="G145" t="s">
        <v>17</v>
      </c>
    </row>
    <row r="146" spans="1:7" ht="15" customHeight="1" x14ac:dyDescent="0.35">
      <c r="A146" t="s">
        <v>157</v>
      </c>
      <c r="B146" s="3">
        <v>46037</v>
      </c>
      <c r="C146" t="s">
        <v>9</v>
      </c>
      <c r="D146">
        <v>41</v>
      </c>
      <c r="E146" s="4">
        <v>374.09</v>
      </c>
      <c r="F146" s="4">
        <v>0</v>
      </c>
      <c r="G146" t="s">
        <v>10</v>
      </c>
    </row>
    <row r="147" spans="1:7" ht="15" customHeight="1" x14ac:dyDescent="0.35">
      <c r="A147" t="s">
        <v>158</v>
      </c>
      <c r="B147" s="3">
        <v>45687</v>
      </c>
      <c r="C147" t="s">
        <v>19</v>
      </c>
      <c r="D147">
        <v>77</v>
      </c>
      <c r="E147" s="4">
        <v>287.27</v>
      </c>
      <c r="F147" s="4">
        <v>1715.65</v>
      </c>
    </row>
    <row r="148" spans="1:7" ht="15" customHeight="1" x14ac:dyDescent="0.35">
      <c r="A148" t="s">
        <v>159</v>
      </c>
      <c r="B148" s="3">
        <v>45993</v>
      </c>
      <c r="C148" t="s">
        <v>9</v>
      </c>
      <c r="D148">
        <v>47</v>
      </c>
      <c r="E148" s="4">
        <v>453.38</v>
      </c>
      <c r="F148" s="4">
        <v>0</v>
      </c>
      <c r="G148" t="s">
        <v>10</v>
      </c>
    </row>
    <row r="149" spans="1:7" ht="15" customHeight="1" x14ac:dyDescent="0.35">
      <c r="A149" t="s">
        <v>160</v>
      </c>
      <c r="B149" s="3">
        <v>45751</v>
      </c>
      <c r="C149" t="s">
        <v>40</v>
      </c>
      <c r="D149">
        <v>59</v>
      </c>
      <c r="E149" s="4">
        <v>97.75</v>
      </c>
      <c r="F149" s="4">
        <v>669.29</v>
      </c>
      <c r="G149" t="s">
        <v>30</v>
      </c>
    </row>
    <row r="150" spans="1:7" ht="15" customHeight="1" x14ac:dyDescent="0.35">
      <c r="A150" t="s">
        <v>161</v>
      </c>
      <c r="B150" s="3">
        <v>46226</v>
      </c>
      <c r="C150" t="s">
        <v>9</v>
      </c>
      <c r="D150">
        <v>39</v>
      </c>
      <c r="E150" s="4">
        <v>463.51</v>
      </c>
      <c r="F150" s="4">
        <v>0</v>
      </c>
      <c r="G150" t="s">
        <v>10</v>
      </c>
    </row>
    <row r="151" spans="1:7" ht="15" customHeight="1" x14ac:dyDescent="0.35">
      <c r="A151" t="s">
        <v>162</v>
      </c>
      <c r="B151" s="3">
        <v>46119</v>
      </c>
      <c r="D151">
        <v>48</v>
      </c>
      <c r="E151" s="4">
        <v>501.49</v>
      </c>
      <c r="F151" s="4">
        <v>1552.21</v>
      </c>
      <c r="G151" t="s">
        <v>17</v>
      </c>
    </row>
    <row r="152" spans="1:7" ht="15" customHeight="1" x14ac:dyDescent="0.35">
      <c r="A152" t="s">
        <v>163</v>
      </c>
      <c r="B152" s="3">
        <v>45910</v>
      </c>
      <c r="C152" t="s">
        <v>19</v>
      </c>
      <c r="D152">
        <v>28</v>
      </c>
      <c r="E152" s="4">
        <v>309.01</v>
      </c>
      <c r="F152" s="4">
        <v>0</v>
      </c>
      <c r="G152" t="s">
        <v>10</v>
      </c>
    </row>
    <row r="153" spans="1:7" ht="15" customHeight="1" x14ac:dyDescent="0.35">
      <c r="A153" t="s">
        <v>164</v>
      </c>
      <c r="B153" s="3">
        <v>45841</v>
      </c>
      <c r="C153" t="s">
        <v>40</v>
      </c>
      <c r="D153">
        <v>58</v>
      </c>
      <c r="E153" s="4">
        <v>98.24</v>
      </c>
      <c r="F153" s="4">
        <v>675.1</v>
      </c>
      <c r="G153" t="s">
        <v>30</v>
      </c>
    </row>
    <row r="154" spans="1:7" ht="15" customHeight="1" x14ac:dyDescent="0.35">
      <c r="A154" t="s">
        <v>165</v>
      </c>
      <c r="B154" s="3">
        <v>45962</v>
      </c>
      <c r="C154" t="s">
        <v>16</v>
      </c>
      <c r="D154">
        <v>41</v>
      </c>
      <c r="E154" s="4">
        <v>418.22</v>
      </c>
      <c r="F154" s="4">
        <v>1790.48</v>
      </c>
      <c r="G154" t="s">
        <v>17</v>
      </c>
    </row>
    <row r="155" spans="1:7" ht="15" customHeight="1" x14ac:dyDescent="0.35">
      <c r="A155" t="s">
        <v>166</v>
      </c>
      <c r="B155" s="3">
        <v>45957</v>
      </c>
      <c r="C155" t="s">
        <v>12</v>
      </c>
      <c r="D155">
        <v>34</v>
      </c>
      <c r="E155" s="4">
        <v>349.84</v>
      </c>
      <c r="F155" s="4"/>
      <c r="G155" t="s">
        <v>13</v>
      </c>
    </row>
    <row r="156" spans="1:7" ht="15" customHeight="1" x14ac:dyDescent="0.35">
      <c r="A156" t="s">
        <v>167</v>
      </c>
      <c r="B156" s="3">
        <v>45770</v>
      </c>
      <c r="C156" t="s">
        <v>9</v>
      </c>
      <c r="D156">
        <v>18</v>
      </c>
      <c r="E156" s="4">
        <v>387.77</v>
      </c>
      <c r="F156" s="4">
        <v>3835.86</v>
      </c>
      <c r="G156" t="s">
        <v>17</v>
      </c>
    </row>
    <row r="157" spans="1:7" ht="15" customHeight="1" x14ac:dyDescent="0.35">
      <c r="A157" t="s">
        <v>168</v>
      </c>
      <c r="B157" s="3">
        <v>45661</v>
      </c>
      <c r="C157" t="s">
        <v>19</v>
      </c>
      <c r="D157">
        <v>24</v>
      </c>
      <c r="E157" s="4">
        <v>295.64999999999998</v>
      </c>
      <c r="F157" s="4">
        <v>0</v>
      </c>
      <c r="G157" t="s">
        <v>10</v>
      </c>
    </row>
    <row r="158" spans="1:7" ht="15" customHeight="1" x14ac:dyDescent="0.35">
      <c r="A158" t="s">
        <v>169</v>
      </c>
      <c r="B158" s="3"/>
      <c r="C158" t="s">
        <v>40</v>
      </c>
      <c r="D158">
        <v>78</v>
      </c>
      <c r="E158" s="4">
        <v>119.44</v>
      </c>
      <c r="F158" s="4">
        <v>1032.98</v>
      </c>
      <c r="G158" t="s">
        <v>17</v>
      </c>
    </row>
    <row r="159" spans="1:7" ht="15" customHeight="1" x14ac:dyDescent="0.35">
      <c r="A159" t="s">
        <v>170</v>
      </c>
      <c r="B159" s="3">
        <v>45889</v>
      </c>
      <c r="C159" t="s">
        <v>19</v>
      </c>
      <c r="D159">
        <v>79</v>
      </c>
      <c r="E159" s="4">
        <v>301.41000000000003</v>
      </c>
      <c r="F159" s="4">
        <v>0</v>
      </c>
      <c r="G159" t="s">
        <v>10</v>
      </c>
    </row>
    <row r="160" spans="1:7" ht="15" customHeight="1" x14ac:dyDescent="0.35">
      <c r="A160" t="s">
        <v>171</v>
      </c>
      <c r="B160" s="3">
        <v>45698</v>
      </c>
      <c r="C160" t="s">
        <v>16</v>
      </c>
      <c r="D160">
        <v>29</v>
      </c>
      <c r="E160" s="4">
        <v>440.94</v>
      </c>
      <c r="F160" s="4">
        <v>4841.1099999999997</v>
      </c>
      <c r="G160" t="s">
        <v>17</v>
      </c>
    </row>
    <row r="161" spans="1:7" ht="15" customHeight="1" x14ac:dyDescent="0.35">
      <c r="A161" t="s">
        <v>172</v>
      </c>
      <c r="B161" s="3">
        <v>45984</v>
      </c>
      <c r="C161" t="s">
        <v>12</v>
      </c>
      <c r="D161">
        <v>45</v>
      </c>
      <c r="E161" s="4">
        <v>360.25</v>
      </c>
      <c r="F161" s="4">
        <v>2486.61</v>
      </c>
      <c r="G161" t="s">
        <v>13</v>
      </c>
    </row>
    <row r="162" spans="1:7" ht="15" customHeight="1" x14ac:dyDescent="0.35">
      <c r="A162" t="s">
        <v>173</v>
      </c>
      <c r="B162" s="3">
        <v>45998</v>
      </c>
      <c r="C162" t="s">
        <v>12</v>
      </c>
      <c r="D162">
        <v>59</v>
      </c>
      <c r="E162" s="4">
        <v>327.44</v>
      </c>
      <c r="F162" s="4">
        <v>0</v>
      </c>
      <c r="G162" t="s">
        <v>10</v>
      </c>
    </row>
    <row r="163" spans="1:7" ht="15" customHeight="1" x14ac:dyDescent="0.35">
      <c r="A163" t="s">
        <v>174</v>
      </c>
      <c r="B163" s="3">
        <v>45738</v>
      </c>
      <c r="D163">
        <v>32</v>
      </c>
      <c r="E163" s="4">
        <v>403.35</v>
      </c>
      <c r="F163" s="4">
        <v>2599.36</v>
      </c>
      <c r="G163" t="s">
        <v>30</v>
      </c>
    </row>
    <row r="164" spans="1:7" ht="15" customHeight="1" x14ac:dyDescent="0.35">
      <c r="A164" t="s">
        <v>175</v>
      </c>
      <c r="B164" s="3">
        <v>45718</v>
      </c>
      <c r="C164" t="s">
        <v>12</v>
      </c>
      <c r="D164">
        <v>44</v>
      </c>
      <c r="E164" s="4">
        <v>340.69</v>
      </c>
      <c r="F164" s="4">
        <v>0</v>
      </c>
      <c r="G164" t="s">
        <v>10</v>
      </c>
    </row>
    <row r="165" spans="1:7" ht="15" customHeight="1" x14ac:dyDescent="0.35">
      <c r="A165" t="s">
        <v>176</v>
      </c>
      <c r="B165" s="3">
        <v>45853</v>
      </c>
      <c r="C165" t="s">
        <v>12</v>
      </c>
      <c r="D165">
        <v>78</v>
      </c>
      <c r="E165" s="4">
        <v>255.77</v>
      </c>
      <c r="F165" s="4">
        <v>1447.69</v>
      </c>
      <c r="G165" t="s">
        <v>13</v>
      </c>
    </row>
    <row r="166" spans="1:7" ht="15" customHeight="1" x14ac:dyDescent="0.35">
      <c r="A166" t="s">
        <v>177</v>
      </c>
      <c r="B166" s="3">
        <v>45924</v>
      </c>
      <c r="C166" t="s">
        <v>19</v>
      </c>
      <c r="E166" s="4">
        <v>387.42</v>
      </c>
      <c r="F166" s="4">
        <v>748.91</v>
      </c>
      <c r="G166" t="s">
        <v>30</v>
      </c>
    </row>
    <row r="167" spans="1:7" ht="15" customHeight="1" x14ac:dyDescent="0.35">
      <c r="A167" t="s">
        <v>98</v>
      </c>
      <c r="B167" s="3">
        <v>46157</v>
      </c>
      <c r="C167" t="s">
        <v>19</v>
      </c>
      <c r="D167">
        <v>40</v>
      </c>
      <c r="E167" s="4">
        <v>273.89</v>
      </c>
      <c r="F167" s="4">
        <v>0</v>
      </c>
      <c r="G167" t="s">
        <v>10</v>
      </c>
    </row>
    <row r="168" spans="1:7" ht="15" customHeight="1" x14ac:dyDescent="0.35">
      <c r="A168" t="s">
        <v>178</v>
      </c>
      <c r="B168" s="3">
        <v>46113</v>
      </c>
      <c r="C168" t="s">
        <v>12</v>
      </c>
      <c r="D168">
        <v>75</v>
      </c>
      <c r="E168" s="4">
        <v>284.74</v>
      </c>
      <c r="F168" s="4">
        <v>0</v>
      </c>
      <c r="G168" t="s">
        <v>10</v>
      </c>
    </row>
    <row r="169" spans="1:7" ht="15" customHeight="1" x14ac:dyDescent="0.35">
      <c r="A169" t="s">
        <v>179</v>
      </c>
      <c r="B169" s="3">
        <v>46193</v>
      </c>
      <c r="C169" t="s">
        <v>19</v>
      </c>
      <c r="E169" s="4">
        <v>443.15</v>
      </c>
      <c r="F169" s="4">
        <v>0</v>
      </c>
      <c r="G169" t="s">
        <v>10</v>
      </c>
    </row>
    <row r="170" spans="1:7" ht="15" customHeight="1" x14ac:dyDescent="0.35">
      <c r="A170" t="s">
        <v>180</v>
      </c>
      <c r="B170" s="3">
        <v>45841</v>
      </c>
      <c r="C170" t="s">
        <v>19</v>
      </c>
      <c r="D170">
        <v>71</v>
      </c>
      <c r="E170" s="4">
        <v>264.81</v>
      </c>
      <c r="F170" s="4">
        <v>420.7</v>
      </c>
      <c r="G170" t="s">
        <v>17</v>
      </c>
    </row>
    <row r="171" spans="1:7" ht="15" customHeight="1" x14ac:dyDescent="0.35">
      <c r="B171" s="3">
        <v>45984</v>
      </c>
      <c r="C171" t="s">
        <v>40</v>
      </c>
      <c r="D171">
        <v>62</v>
      </c>
      <c r="E171" s="4">
        <v>83.04</v>
      </c>
      <c r="F171" s="4">
        <v>875.36</v>
      </c>
      <c r="G171" t="s">
        <v>17</v>
      </c>
    </row>
    <row r="172" spans="1:7" ht="15" customHeight="1" x14ac:dyDescent="0.35">
      <c r="A172" t="s">
        <v>181</v>
      </c>
      <c r="B172" s="3">
        <v>46141</v>
      </c>
      <c r="C172" t="s">
        <v>19</v>
      </c>
      <c r="D172">
        <v>60</v>
      </c>
      <c r="E172" s="4">
        <v>292.08</v>
      </c>
      <c r="F172" s="4">
        <v>0</v>
      </c>
      <c r="G172" t="s">
        <v>10</v>
      </c>
    </row>
    <row r="173" spans="1:7" ht="15" customHeight="1" x14ac:dyDescent="0.35">
      <c r="A173" t="s">
        <v>182</v>
      </c>
      <c r="B173" s="3">
        <v>45820</v>
      </c>
      <c r="C173" t="s">
        <v>19</v>
      </c>
      <c r="D173">
        <v>23</v>
      </c>
      <c r="E173" s="4">
        <v>327.37</v>
      </c>
      <c r="F173" s="4">
        <v>2174.35</v>
      </c>
      <c r="G173" t="s">
        <v>13</v>
      </c>
    </row>
    <row r="174" spans="1:7" ht="15" customHeight="1" x14ac:dyDescent="0.35">
      <c r="A174" t="s">
        <v>183</v>
      </c>
      <c r="B174" s="3">
        <v>45874</v>
      </c>
      <c r="C174" t="s">
        <v>16</v>
      </c>
      <c r="D174">
        <v>40</v>
      </c>
      <c r="E174" s="4">
        <v>336.95</v>
      </c>
      <c r="F174" s="4">
        <v>0</v>
      </c>
      <c r="G174" t="s">
        <v>10</v>
      </c>
    </row>
    <row r="175" spans="1:7" ht="15" customHeight="1" x14ac:dyDescent="0.35">
      <c r="A175" t="s">
        <v>184</v>
      </c>
      <c r="B175" s="3"/>
      <c r="C175" t="s">
        <v>19</v>
      </c>
      <c r="D175">
        <v>22</v>
      </c>
      <c r="E175" s="4">
        <v>382.99</v>
      </c>
      <c r="F175" s="4">
        <v>0</v>
      </c>
      <c r="G175" t="s">
        <v>10</v>
      </c>
    </row>
    <row r="176" spans="1:7" ht="15" customHeight="1" x14ac:dyDescent="0.35">
      <c r="A176" t="s">
        <v>185</v>
      </c>
      <c r="B176" s="3">
        <v>45744</v>
      </c>
      <c r="C176" t="s">
        <v>19</v>
      </c>
      <c r="D176">
        <v>26</v>
      </c>
      <c r="E176" s="4"/>
      <c r="F176" s="4">
        <v>2964.27</v>
      </c>
      <c r="G176" t="s">
        <v>30</v>
      </c>
    </row>
    <row r="177" spans="1:7" ht="15" customHeight="1" x14ac:dyDescent="0.35">
      <c r="A177" t="s">
        <v>186</v>
      </c>
      <c r="B177" s="3">
        <v>46210</v>
      </c>
      <c r="C177" t="s">
        <v>9</v>
      </c>
      <c r="D177">
        <v>52</v>
      </c>
      <c r="E177" s="4">
        <v>311.76</v>
      </c>
      <c r="F177" s="4">
        <v>3597.64</v>
      </c>
      <c r="G177" t="s">
        <v>30</v>
      </c>
    </row>
    <row r="178" spans="1:7" ht="15" customHeight="1" x14ac:dyDescent="0.35">
      <c r="A178" t="s">
        <v>187</v>
      </c>
      <c r="B178" s="3">
        <v>45983</v>
      </c>
      <c r="D178">
        <v>35</v>
      </c>
      <c r="E178" s="4">
        <v>419</v>
      </c>
      <c r="F178" s="4">
        <v>1833.43</v>
      </c>
      <c r="G178" t="s">
        <v>17</v>
      </c>
    </row>
    <row r="179" spans="1:7" ht="15" customHeight="1" x14ac:dyDescent="0.35">
      <c r="A179" t="s">
        <v>188</v>
      </c>
      <c r="B179" s="3">
        <v>45945</v>
      </c>
      <c r="C179" t="s">
        <v>19</v>
      </c>
      <c r="D179">
        <v>76</v>
      </c>
      <c r="E179" s="4">
        <v>280.19</v>
      </c>
      <c r="F179" s="4" t="s">
        <v>123</v>
      </c>
      <c r="G179" t="s">
        <v>30</v>
      </c>
    </row>
    <row r="180" spans="1:7" ht="15" customHeight="1" x14ac:dyDescent="0.35">
      <c r="A180" t="s">
        <v>189</v>
      </c>
      <c r="B180" s="3">
        <v>45861</v>
      </c>
      <c r="C180" t="s">
        <v>16</v>
      </c>
      <c r="D180">
        <v>44</v>
      </c>
      <c r="E180" s="4">
        <v>362.72</v>
      </c>
      <c r="F180" s="4"/>
      <c r="G180" t="s">
        <v>10</v>
      </c>
    </row>
    <row r="181" spans="1:7" ht="15" customHeight="1" x14ac:dyDescent="0.35">
      <c r="A181" t="s">
        <v>190</v>
      </c>
      <c r="B181" s="3">
        <v>45862</v>
      </c>
      <c r="C181" t="s">
        <v>12</v>
      </c>
      <c r="E181" s="4">
        <v>257.37</v>
      </c>
      <c r="F181" s="4">
        <v>608.33000000000004</v>
      </c>
      <c r="G181" t="s">
        <v>13</v>
      </c>
    </row>
    <row r="182" spans="1:7" ht="15" customHeight="1" x14ac:dyDescent="0.35">
      <c r="A182" t="s">
        <v>191</v>
      </c>
      <c r="B182" s="3">
        <v>45723</v>
      </c>
      <c r="C182" t="s">
        <v>16</v>
      </c>
      <c r="D182">
        <v>43</v>
      </c>
      <c r="E182" s="4">
        <v>505.54</v>
      </c>
      <c r="F182" s="4">
        <v>4108.95</v>
      </c>
      <c r="G182" t="s">
        <v>17</v>
      </c>
    </row>
    <row r="183" spans="1:7" ht="15" customHeight="1" x14ac:dyDescent="0.35">
      <c r="A183" t="s">
        <v>192</v>
      </c>
      <c r="B183" s="3">
        <v>45814</v>
      </c>
      <c r="C183" t="s">
        <v>19</v>
      </c>
      <c r="D183">
        <v>47</v>
      </c>
      <c r="E183" s="4">
        <v>290.25</v>
      </c>
      <c r="F183" s="4">
        <v>0</v>
      </c>
      <c r="G183" t="s">
        <v>10</v>
      </c>
    </row>
    <row r="184" spans="1:7" ht="15" customHeight="1" x14ac:dyDescent="0.35">
      <c r="A184" t="s">
        <v>193</v>
      </c>
      <c r="B184" s="3">
        <v>46178</v>
      </c>
      <c r="C184" t="s">
        <v>9</v>
      </c>
      <c r="D184">
        <v>124</v>
      </c>
      <c r="E184" s="4">
        <v>516.1</v>
      </c>
      <c r="F184" s="4">
        <v>3377.55</v>
      </c>
      <c r="G184" t="s">
        <v>17</v>
      </c>
    </row>
    <row r="185" spans="1:7" ht="15" customHeight="1" x14ac:dyDescent="0.35">
      <c r="A185" t="s">
        <v>194</v>
      </c>
      <c r="B185" s="3">
        <v>46048</v>
      </c>
      <c r="C185" t="s">
        <v>9</v>
      </c>
      <c r="D185">
        <v>66</v>
      </c>
      <c r="E185" s="4">
        <v>477.41</v>
      </c>
      <c r="F185" s="4">
        <v>0</v>
      </c>
      <c r="G185" t="s">
        <v>10</v>
      </c>
    </row>
    <row r="186" spans="1:7" ht="15" customHeight="1" x14ac:dyDescent="0.35">
      <c r="A186" t="s">
        <v>195</v>
      </c>
      <c r="B186" s="3">
        <v>46113</v>
      </c>
      <c r="C186" t="s">
        <v>12</v>
      </c>
      <c r="D186">
        <v>57</v>
      </c>
      <c r="E186" s="4">
        <v>359.69</v>
      </c>
      <c r="F186" s="4">
        <v>287.33</v>
      </c>
      <c r="G186" t="s">
        <v>17</v>
      </c>
    </row>
    <row r="187" spans="1:7" ht="15" customHeight="1" x14ac:dyDescent="0.35">
      <c r="A187" t="s">
        <v>196</v>
      </c>
      <c r="B187" s="3">
        <v>45662</v>
      </c>
      <c r="C187" t="s">
        <v>9</v>
      </c>
      <c r="D187">
        <v>18</v>
      </c>
      <c r="E187" s="4">
        <v>449.77</v>
      </c>
      <c r="F187" s="4">
        <v>0</v>
      </c>
      <c r="G187" t="s">
        <v>10</v>
      </c>
    </row>
    <row r="188" spans="1:7" ht="15" customHeight="1" x14ac:dyDescent="0.35">
      <c r="A188" t="s">
        <v>197</v>
      </c>
      <c r="B188" s="3">
        <v>45964</v>
      </c>
      <c r="C188" t="s">
        <v>19</v>
      </c>
      <c r="D188">
        <v>18</v>
      </c>
      <c r="E188" s="4">
        <v>389.95</v>
      </c>
      <c r="F188" s="4">
        <v>1630.84</v>
      </c>
      <c r="G188" t="s">
        <v>17</v>
      </c>
    </row>
    <row r="189" spans="1:7" ht="15" customHeight="1" x14ac:dyDescent="0.35">
      <c r="A189" t="s">
        <v>198</v>
      </c>
      <c r="B189" s="3">
        <v>45785</v>
      </c>
      <c r="C189" t="s">
        <v>19</v>
      </c>
      <c r="D189">
        <v>22</v>
      </c>
      <c r="E189" s="4"/>
      <c r="F189" s="4">
        <v>0</v>
      </c>
      <c r="G189" t="s">
        <v>10</v>
      </c>
    </row>
    <row r="190" spans="1:7" ht="15" customHeight="1" x14ac:dyDescent="0.35">
      <c r="A190" t="s">
        <v>199</v>
      </c>
      <c r="B190" s="3">
        <v>46099</v>
      </c>
      <c r="D190">
        <v>56</v>
      </c>
      <c r="E190" s="4">
        <v>482.25</v>
      </c>
      <c r="F190" s="4">
        <v>1504.8</v>
      </c>
      <c r="G190" t="s">
        <v>13</v>
      </c>
    </row>
    <row r="191" spans="1:7" ht="15" customHeight="1" x14ac:dyDescent="0.35">
      <c r="A191" t="s">
        <v>200</v>
      </c>
      <c r="B191" s="3">
        <v>45806</v>
      </c>
      <c r="D191">
        <v>59</v>
      </c>
      <c r="E191" s="4">
        <v>250.19</v>
      </c>
      <c r="F191" s="4">
        <v>0</v>
      </c>
      <c r="G191" t="s">
        <v>10</v>
      </c>
    </row>
    <row r="192" spans="1:7" ht="15" customHeight="1" x14ac:dyDescent="0.35">
      <c r="A192" t="s">
        <v>201</v>
      </c>
      <c r="B192" s="3">
        <v>46184</v>
      </c>
      <c r="C192" t="s">
        <v>12</v>
      </c>
      <c r="D192">
        <v>58</v>
      </c>
      <c r="E192" s="4">
        <v>362.9</v>
      </c>
      <c r="F192" s="4"/>
      <c r="G192" t="s">
        <v>30</v>
      </c>
    </row>
    <row r="193" spans="1:7" ht="15" customHeight="1" x14ac:dyDescent="0.35">
      <c r="A193" t="s">
        <v>202</v>
      </c>
      <c r="B193" s="3">
        <v>46145</v>
      </c>
      <c r="C193" t="s">
        <v>19</v>
      </c>
      <c r="D193">
        <v>44</v>
      </c>
      <c r="E193" s="4">
        <v>335.29</v>
      </c>
      <c r="F193" s="4">
        <v>0</v>
      </c>
      <c r="G193" t="s">
        <v>10</v>
      </c>
    </row>
    <row r="194" spans="1:7" ht="15" customHeight="1" x14ac:dyDescent="0.35">
      <c r="A194" t="s">
        <v>203</v>
      </c>
      <c r="B194" s="3">
        <v>45688</v>
      </c>
      <c r="C194" t="s">
        <v>40</v>
      </c>
      <c r="D194">
        <v>30</v>
      </c>
      <c r="E194" s="4">
        <v>101.66</v>
      </c>
      <c r="F194" s="4">
        <v>0</v>
      </c>
      <c r="G194" t="s">
        <v>10</v>
      </c>
    </row>
    <row r="195" spans="1:7" ht="15" customHeight="1" x14ac:dyDescent="0.35">
      <c r="A195" t="s">
        <v>204</v>
      </c>
      <c r="B195" s="3">
        <v>46081</v>
      </c>
      <c r="C195" t="s">
        <v>12</v>
      </c>
      <c r="D195">
        <v>79</v>
      </c>
      <c r="E195" s="4">
        <v>324.16000000000003</v>
      </c>
      <c r="F195" s="4">
        <v>597.52</v>
      </c>
      <c r="G195" t="s">
        <v>13</v>
      </c>
    </row>
    <row r="196" spans="1:7" ht="15" customHeight="1" x14ac:dyDescent="0.35">
      <c r="B196" s="3">
        <v>46113</v>
      </c>
      <c r="C196" t="s">
        <v>19</v>
      </c>
      <c r="D196">
        <v>23</v>
      </c>
      <c r="E196" s="4">
        <v>313.14</v>
      </c>
      <c r="F196" s="4">
        <v>461.08</v>
      </c>
      <c r="G196" t="s">
        <v>17</v>
      </c>
    </row>
    <row r="197" spans="1:7" ht="15" customHeight="1" x14ac:dyDescent="0.35">
      <c r="A197" t="s">
        <v>205</v>
      </c>
      <c r="B197" s="3">
        <v>46120</v>
      </c>
      <c r="C197" t="s">
        <v>19</v>
      </c>
      <c r="D197">
        <v>45</v>
      </c>
      <c r="E197" s="4">
        <v>271.58999999999997</v>
      </c>
      <c r="F197" s="4">
        <v>2832.74</v>
      </c>
      <c r="G197" t="s">
        <v>13</v>
      </c>
    </row>
    <row r="198" spans="1:7" ht="15" customHeight="1" x14ac:dyDescent="0.35">
      <c r="A198" t="s">
        <v>206</v>
      </c>
      <c r="B198" s="3">
        <v>45853</v>
      </c>
      <c r="C198" t="s">
        <v>12</v>
      </c>
      <c r="D198">
        <v>26</v>
      </c>
      <c r="E198" s="4">
        <v>344</v>
      </c>
      <c r="F198" s="4">
        <v>1210.99</v>
      </c>
      <c r="G198" t="s">
        <v>13</v>
      </c>
    </row>
    <row r="199" spans="1:7" ht="15" customHeight="1" x14ac:dyDescent="0.35">
      <c r="A199" t="s">
        <v>207</v>
      </c>
      <c r="B199" s="3">
        <v>46052</v>
      </c>
      <c r="C199" t="s">
        <v>16</v>
      </c>
      <c r="D199">
        <v>75</v>
      </c>
      <c r="E199" s="4">
        <v>371.54</v>
      </c>
      <c r="F199" s="4">
        <v>0</v>
      </c>
      <c r="G199" t="s">
        <v>10</v>
      </c>
    </row>
    <row r="200" spans="1:7" ht="15" customHeight="1" x14ac:dyDescent="0.35">
      <c r="A200" t="s">
        <v>208</v>
      </c>
      <c r="B200" s="3">
        <v>46092</v>
      </c>
      <c r="C200" t="s">
        <v>12</v>
      </c>
      <c r="D200">
        <v>61</v>
      </c>
      <c r="E200" s="4">
        <v>259.18</v>
      </c>
      <c r="F200" s="4">
        <v>2327.5300000000002</v>
      </c>
      <c r="G200" t="s">
        <v>17</v>
      </c>
    </row>
    <row r="201" spans="1:7" ht="15" customHeight="1" x14ac:dyDescent="0.35">
      <c r="A201" t="s">
        <v>209</v>
      </c>
      <c r="B201" s="3">
        <v>45912</v>
      </c>
      <c r="C201" t="s">
        <v>12</v>
      </c>
      <c r="D201">
        <v>72</v>
      </c>
      <c r="E201" s="4"/>
      <c r="F201" s="4">
        <v>0</v>
      </c>
      <c r="G201" t="s">
        <v>10</v>
      </c>
    </row>
    <row r="202" spans="1:7" ht="15" customHeight="1" x14ac:dyDescent="0.35">
      <c r="A202" t="s">
        <v>210</v>
      </c>
      <c r="B202" s="3">
        <v>46135</v>
      </c>
      <c r="C202" t="s">
        <v>9</v>
      </c>
      <c r="D202">
        <v>74</v>
      </c>
      <c r="E202" s="4">
        <v>528.80999999999995</v>
      </c>
      <c r="F202" s="4">
        <v>1323.43</v>
      </c>
      <c r="G202" t="s">
        <v>13</v>
      </c>
    </row>
    <row r="203" spans="1:7" ht="15" customHeight="1" x14ac:dyDescent="0.35">
      <c r="A203" t="s">
        <v>211</v>
      </c>
      <c r="B203" s="3">
        <v>46038</v>
      </c>
      <c r="C203" t="s">
        <v>9</v>
      </c>
      <c r="D203">
        <v>35</v>
      </c>
      <c r="E203" s="4">
        <v>358.75</v>
      </c>
      <c r="F203" s="4">
        <v>0</v>
      </c>
    </row>
    <row r="204" spans="1:7" ht="15" customHeight="1" x14ac:dyDescent="0.35">
      <c r="A204" t="s">
        <v>212</v>
      </c>
      <c r="B204" s="3"/>
      <c r="C204" t="s">
        <v>213</v>
      </c>
      <c r="D204">
        <v>47</v>
      </c>
      <c r="E204" s="4">
        <v>122.1</v>
      </c>
      <c r="F204" s="4"/>
      <c r="G204" t="s">
        <v>13</v>
      </c>
    </row>
    <row r="205" spans="1:7" ht="15" customHeight="1" x14ac:dyDescent="0.35">
      <c r="A205" t="s">
        <v>214</v>
      </c>
      <c r="B205" s="3">
        <v>46018</v>
      </c>
      <c r="C205" t="s">
        <v>12</v>
      </c>
      <c r="D205">
        <v>64</v>
      </c>
      <c r="E205" s="4">
        <v>335.45</v>
      </c>
      <c r="F205" s="4">
        <v>615.14</v>
      </c>
      <c r="G205" t="s">
        <v>17</v>
      </c>
    </row>
    <row r="206" spans="1:7" ht="15" customHeight="1" x14ac:dyDescent="0.35">
      <c r="A206" t="s">
        <v>215</v>
      </c>
      <c r="B206" s="3">
        <v>46143</v>
      </c>
      <c r="C206" t="s">
        <v>12</v>
      </c>
      <c r="D206">
        <v>40</v>
      </c>
      <c r="E206" s="4">
        <v>258.57</v>
      </c>
      <c r="F206" s="4">
        <v>0</v>
      </c>
      <c r="G206" t="s">
        <v>10</v>
      </c>
    </row>
    <row r="207" spans="1:7" ht="15" customHeight="1" x14ac:dyDescent="0.35">
      <c r="A207" t="s">
        <v>216</v>
      </c>
      <c r="B207" s="3">
        <v>45726</v>
      </c>
      <c r="C207" t="s">
        <v>19</v>
      </c>
      <c r="D207">
        <v>22</v>
      </c>
      <c r="E207" s="4">
        <v>269</v>
      </c>
      <c r="F207" s="4">
        <v>3241.57</v>
      </c>
    </row>
    <row r="208" spans="1:7" ht="15" customHeight="1" x14ac:dyDescent="0.35">
      <c r="A208" t="s">
        <v>217</v>
      </c>
      <c r="B208" s="3">
        <v>46202</v>
      </c>
      <c r="C208" t="s">
        <v>19</v>
      </c>
      <c r="D208">
        <v>55</v>
      </c>
      <c r="E208" s="4"/>
      <c r="F208" s="4">
        <v>1253.25</v>
      </c>
      <c r="G208" t="s">
        <v>17</v>
      </c>
    </row>
    <row r="209" spans="1:7" ht="15" customHeight="1" x14ac:dyDescent="0.35">
      <c r="A209" t="s">
        <v>218</v>
      </c>
      <c r="B209" s="3">
        <v>45873</v>
      </c>
      <c r="C209" t="s">
        <v>19</v>
      </c>
      <c r="D209">
        <v>33</v>
      </c>
      <c r="E209" s="4">
        <v>282.63</v>
      </c>
      <c r="F209" s="4">
        <v>3474.06</v>
      </c>
      <c r="G209" t="s">
        <v>13</v>
      </c>
    </row>
    <row r="210" spans="1:7" ht="15" customHeight="1" x14ac:dyDescent="0.35">
      <c r="A210" t="s">
        <v>219</v>
      </c>
      <c r="B210" s="3"/>
      <c r="C210" t="s">
        <v>9</v>
      </c>
      <c r="D210">
        <v>41</v>
      </c>
      <c r="E210" s="4">
        <v>435.79</v>
      </c>
      <c r="F210" s="4">
        <v>0</v>
      </c>
      <c r="G210" t="s">
        <v>10</v>
      </c>
    </row>
    <row r="211" spans="1:7" ht="15" customHeight="1" x14ac:dyDescent="0.35">
      <c r="A211" t="s">
        <v>220</v>
      </c>
      <c r="B211" s="3">
        <v>45718</v>
      </c>
      <c r="C211" t="s">
        <v>9</v>
      </c>
      <c r="D211">
        <v>61</v>
      </c>
      <c r="E211" s="4">
        <v>418.98</v>
      </c>
      <c r="F211" s="4">
        <v>0</v>
      </c>
    </row>
    <row r="212" spans="1:7" ht="15" customHeight="1" x14ac:dyDescent="0.35">
      <c r="A212" t="s">
        <v>221</v>
      </c>
      <c r="B212" s="3">
        <v>45679</v>
      </c>
      <c r="C212" t="s">
        <v>19</v>
      </c>
      <c r="D212">
        <v>35</v>
      </c>
      <c r="E212" s="4">
        <v>276.36</v>
      </c>
      <c r="F212" s="4">
        <v>3372.3</v>
      </c>
      <c r="G212" t="s">
        <v>13</v>
      </c>
    </row>
    <row r="213" spans="1:7" ht="15" customHeight="1" x14ac:dyDescent="0.35">
      <c r="A213" t="s">
        <v>222</v>
      </c>
      <c r="B213" s="3">
        <v>45922</v>
      </c>
      <c r="D213">
        <v>72</v>
      </c>
      <c r="E213" s="4">
        <v>357.36</v>
      </c>
      <c r="F213" s="4">
        <v>1485.33</v>
      </c>
      <c r="G213" t="s">
        <v>13</v>
      </c>
    </row>
    <row r="214" spans="1:7" ht="15" customHeight="1" x14ac:dyDescent="0.35">
      <c r="A214" t="s">
        <v>223</v>
      </c>
      <c r="B214" s="3">
        <v>45889</v>
      </c>
      <c r="C214" t="s">
        <v>40</v>
      </c>
      <c r="D214">
        <v>80</v>
      </c>
      <c r="E214" s="4">
        <v>107.94</v>
      </c>
      <c r="F214" s="4">
        <v>0</v>
      </c>
      <c r="G214" t="s">
        <v>10</v>
      </c>
    </row>
    <row r="215" spans="1:7" ht="15" customHeight="1" x14ac:dyDescent="0.35">
      <c r="A215" t="s">
        <v>224</v>
      </c>
      <c r="B215" s="3">
        <v>45976</v>
      </c>
      <c r="C215" t="s">
        <v>12</v>
      </c>
      <c r="D215">
        <v>71</v>
      </c>
      <c r="E215" s="4"/>
      <c r="F215" s="4">
        <v>2390.31</v>
      </c>
      <c r="G215" t="s">
        <v>13</v>
      </c>
    </row>
    <row r="216" spans="1:7" ht="15" customHeight="1" x14ac:dyDescent="0.35">
      <c r="A216" t="s">
        <v>225</v>
      </c>
      <c r="B216" s="3">
        <v>45792</v>
      </c>
      <c r="C216" t="s">
        <v>19</v>
      </c>
      <c r="D216">
        <v>78</v>
      </c>
      <c r="E216" s="4">
        <v>416.61</v>
      </c>
      <c r="F216" s="4">
        <v>0</v>
      </c>
      <c r="G216" t="s">
        <v>10</v>
      </c>
    </row>
    <row r="217" spans="1:7" ht="15" customHeight="1" x14ac:dyDescent="0.35">
      <c r="A217" t="s">
        <v>226</v>
      </c>
      <c r="B217" s="3">
        <v>45979</v>
      </c>
      <c r="C217" t="s">
        <v>19</v>
      </c>
      <c r="D217">
        <v>52</v>
      </c>
      <c r="E217" s="4">
        <v>328.71</v>
      </c>
      <c r="F217" s="4">
        <v>3230.38</v>
      </c>
      <c r="G217" t="s">
        <v>30</v>
      </c>
    </row>
    <row r="218" spans="1:7" ht="15" customHeight="1" x14ac:dyDescent="0.35">
      <c r="A218" t="s">
        <v>227</v>
      </c>
      <c r="B218" s="3">
        <v>45660</v>
      </c>
      <c r="C218" t="s">
        <v>16</v>
      </c>
      <c r="D218">
        <v>30</v>
      </c>
      <c r="E218" s="4">
        <v>469.45</v>
      </c>
      <c r="F218" s="4">
        <v>0</v>
      </c>
      <c r="G218" t="s">
        <v>10</v>
      </c>
    </row>
    <row r="219" spans="1:7" ht="15" customHeight="1" x14ac:dyDescent="0.35">
      <c r="A219" t="s">
        <v>228</v>
      </c>
      <c r="B219" s="3">
        <v>46148</v>
      </c>
      <c r="C219" t="s">
        <v>12</v>
      </c>
      <c r="E219" s="4">
        <v>347.66</v>
      </c>
      <c r="F219" s="4">
        <v>0</v>
      </c>
      <c r="G219" t="s">
        <v>10</v>
      </c>
    </row>
    <row r="220" spans="1:7" ht="15" customHeight="1" x14ac:dyDescent="0.35">
      <c r="A220" t="s">
        <v>229</v>
      </c>
      <c r="B220" s="3">
        <v>45746</v>
      </c>
      <c r="C220" t="s">
        <v>16</v>
      </c>
      <c r="E220" s="4">
        <v>517.41</v>
      </c>
      <c r="F220" s="4">
        <v>2426.7199999999998</v>
      </c>
      <c r="G220" t="s">
        <v>30</v>
      </c>
    </row>
    <row r="221" spans="1:7" ht="15" customHeight="1" x14ac:dyDescent="0.35">
      <c r="A221" t="s">
        <v>172</v>
      </c>
      <c r="B221" s="3">
        <v>45984</v>
      </c>
      <c r="C221" t="s">
        <v>12</v>
      </c>
      <c r="D221">
        <v>45</v>
      </c>
      <c r="E221" s="4">
        <v>360.25</v>
      </c>
      <c r="F221" s="4">
        <v>2486.61</v>
      </c>
      <c r="G221" t="s">
        <v>13</v>
      </c>
    </row>
    <row r="222" spans="1:7" ht="15" customHeight="1" x14ac:dyDescent="0.35">
      <c r="A222" t="s">
        <v>230</v>
      </c>
      <c r="B222" s="3">
        <v>45670</v>
      </c>
      <c r="C222" t="s">
        <v>19</v>
      </c>
      <c r="D222">
        <v>40</v>
      </c>
      <c r="E222" s="4">
        <v>360.45</v>
      </c>
      <c r="F222" s="4">
        <v>1801.76</v>
      </c>
    </row>
    <row r="223" spans="1:7" ht="15" customHeight="1" x14ac:dyDescent="0.35">
      <c r="A223" t="s">
        <v>231</v>
      </c>
      <c r="B223" s="3">
        <v>45704</v>
      </c>
      <c r="C223" t="s">
        <v>16</v>
      </c>
      <c r="D223">
        <v>42</v>
      </c>
      <c r="E223" s="4">
        <v>475.22</v>
      </c>
      <c r="F223" s="4">
        <v>3375.56</v>
      </c>
      <c r="G223" t="s">
        <v>13</v>
      </c>
    </row>
    <row r="224" spans="1:7" ht="15" customHeight="1" x14ac:dyDescent="0.35">
      <c r="A224" t="s">
        <v>232</v>
      </c>
      <c r="B224" s="3">
        <v>45663</v>
      </c>
      <c r="C224" t="s">
        <v>16</v>
      </c>
      <c r="D224">
        <v>77</v>
      </c>
      <c r="E224" s="4">
        <v>532.19000000000005</v>
      </c>
      <c r="F224" s="4">
        <v>1639.93</v>
      </c>
      <c r="G224" t="s">
        <v>17</v>
      </c>
    </row>
    <row r="225" spans="1:7" ht="15" customHeight="1" x14ac:dyDescent="0.35">
      <c r="A225" t="s">
        <v>233</v>
      </c>
      <c r="B225" s="3">
        <v>45939</v>
      </c>
      <c r="C225" t="s">
        <v>16</v>
      </c>
      <c r="D225">
        <v>80</v>
      </c>
      <c r="E225" s="4">
        <v>435.62</v>
      </c>
      <c r="F225" s="4">
        <v>1148.0899999999999</v>
      </c>
      <c r="G225" t="s">
        <v>30</v>
      </c>
    </row>
    <row r="226" spans="1:7" ht="15" customHeight="1" x14ac:dyDescent="0.35">
      <c r="A226" t="s">
        <v>234</v>
      </c>
      <c r="B226" s="3">
        <v>45906</v>
      </c>
      <c r="C226" t="s">
        <v>16</v>
      </c>
      <c r="D226">
        <v>30</v>
      </c>
      <c r="E226" s="4">
        <v>465.9</v>
      </c>
      <c r="F226" s="4">
        <v>0</v>
      </c>
      <c r="G226" t="s">
        <v>10</v>
      </c>
    </row>
    <row r="227" spans="1:7" ht="15" customHeight="1" x14ac:dyDescent="0.35">
      <c r="A227" t="s">
        <v>235</v>
      </c>
      <c r="B227" s="3">
        <v>46108</v>
      </c>
      <c r="C227" t="s">
        <v>40</v>
      </c>
      <c r="D227">
        <v>79</v>
      </c>
      <c r="E227" s="4">
        <v>119.92</v>
      </c>
      <c r="F227" s="4">
        <v>604.95000000000005</v>
      </c>
    </row>
    <row r="228" spans="1:7" ht="15" customHeight="1" x14ac:dyDescent="0.35">
      <c r="A228" t="s">
        <v>236</v>
      </c>
      <c r="B228" s="3">
        <v>45905</v>
      </c>
      <c r="C228" t="s">
        <v>12</v>
      </c>
      <c r="D228">
        <v>67</v>
      </c>
      <c r="E228" s="4">
        <v>329.82</v>
      </c>
      <c r="F228" s="4">
        <v>2356.31</v>
      </c>
    </row>
    <row r="229" spans="1:7" ht="15" customHeight="1" x14ac:dyDescent="0.35">
      <c r="A229" t="s">
        <v>237</v>
      </c>
      <c r="B229" s="3">
        <v>46012</v>
      </c>
      <c r="C229" t="s">
        <v>9</v>
      </c>
      <c r="D229">
        <v>46</v>
      </c>
      <c r="E229" s="4">
        <v>343.71</v>
      </c>
      <c r="F229" s="4">
        <v>0</v>
      </c>
      <c r="G229" t="s">
        <v>10</v>
      </c>
    </row>
    <row r="230" spans="1:7" ht="15" customHeight="1" x14ac:dyDescent="0.35">
      <c r="A230" t="s">
        <v>238</v>
      </c>
      <c r="B230" s="3">
        <v>45805</v>
      </c>
      <c r="C230" t="s">
        <v>12</v>
      </c>
      <c r="D230">
        <v>28</v>
      </c>
      <c r="E230" s="4">
        <v>217.24</v>
      </c>
      <c r="F230" s="4">
        <v>0</v>
      </c>
      <c r="G230" t="s">
        <v>10</v>
      </c>
    </row>
    <row r="231" spans="1:7" ht="15" customHeight="1" x14ac:dyDescent="0.35">
      <c r="A231" t="s">
        <v>239</v>
      </c>
      <c r="B231" s="3">
        <v>45753</v>
      </c>
      <c r="C231" t="s">
        <v>19</v>
      </c>
      <c r="D231">
        <v>51</v>
      </c>
      <c r="E231" s="4">
        <v>303.31</v>
      </c>
      <c r="F231" s="4">
        <v>0</v>
      </c>
      <c r="G231" t="s">
        <v>10</v>
      </c>
    </row>
    <row r="232" spans="1:7" ht="15" customHeight="1" x14ac:dyDescent="0.35">
      <c r="A232" t="s">
        <v>240</v>
      </c>
      <c r="B232" s="3">
        <v>46107</v>
      </c>
      <c r="D232">
        <v>37</v>
      </c>
      <c r="E232" s="4">
        <v>310.33</v>
      </c>
      <c r="F232" s="4">
        <v>1618.29</v>
      </c>
    </row>
    <row r="233" spans="1:7" ht="15" customHeight="1" x14ac:dyDescent="0.35">
      <c r="A233" t="s">
        <v>241</v>
      </c>
      <c r="B233" s="3">
        <v>45672</v>
      </c>
      <c r="C233" t="s">
        <v>12</v>
      </c>
      <c r="D233">
        <v>54</v>
      </c>
      <c r="E233" s="4">
        <v>226.52</v>
      </c>
      <c r="F233" s="4">
        <v>0</v>
      </c>
      <c r="G233" t="s">
        <v>10</v>
      </c>
    </row>
    <row r="234" spans="1:7" ht="15" customHeight="1" x14ac:dyDescent="0.35">
      <c r="A234" t="s">
        <v>242</v>
      </c>
      <c r="B234" s="3"/>
      <c r="C234" t="s">
        <v>12</v>
      </c>
      <c r="D234">
        <v>51</v>
      </c>
      <c r="E234" s="4">
        <v>349.38</v>
      </c>
      <c r="F234" s="4">
        <v>1106.1099999999999</v>
      </c>
      <c r="G234" t="s">
        <v>17</v>
      </c>
    </row>
    <row r="235" spans="1:7" ht="15" customHeight="1" x14ac:dyDescent="0.35">
      <c r="A235" t="s">
        <v>243</v>
      </c>
      <c r="B235" s="3">
        <v>45711</v>
      </c>
      <c r="C235" t="s">
        <v>244</v>
      </c>
      <c r="E235" s="4">
        <v>430.05</v>
      </c>
      <c r="F235" s="4">
        <v>3006.35</v>
      </c>
      <c r="G235" t="s">
        <v>17</v>
      </c>
    </row>
    <row r="236" spans="1:7" ht="15" customHeight="1" x14ac:dyDescent="0.35">
      <c r="A236" t="s">
        <v>245</v>
      </c>
      <c r="B236" s="3">
        <v>45960</v>
      </c>
      <c r="C236" t="s">
        <v>40</v>
      </c>
      <c r="D236">
        <v>30</v>
      </c>
      <c r="E236" s="4">
        <v>107.14</v>
      </c>
      <c r="F236" s="4">
        <v>0</v>
      </c>
      <c r="G236" t="s">
        <v>10</v>
      </c>
    </row>
    <row r="237" spans="1:7" ht="15" customHeight="1" x14ac:dyDescent="0.35">
      <c r="B237" s="3">
        <v>46074</v>
      </c>
      <c r="C237" t="s">
        <v>12</v>
      </c>
      <c r="D237">
        <v>74</v>
      </c>
      <c r="E237" s="4">
        <v>307.97000000000003</v>
      </c>
      <c r="F237" s="4">
        <v>338.82</v>
      </c>
      <c r="G237" t="s">
        <v>13</v>
      </c>
    </row>
    <row r="238" spans="1:7" ht="15" customHeight="1" x14ac:dyDescent="0.35">
      <c r="A238" t="s">
        <v>246</v>
      </c>
      <c r="B238" s="3">
        <v>45803</v>
      </c>
      <c r="C238" t="s">
        <v>19</v>
      </c>
      <c r="D238">
        <v>70</v>
      </c>
      <c r="E238" s="4">
        <v>365.7</v>
      </c>
      <c r="F238" s="4">
        <v>2247.67</v>
      </c>
      <c r="G238" t="s">
        <v>13</v>
      </c>
    </row>
    <row r="239" spans="1:7" ht="15" customHeight="1" x14ac:dyDescent="0.35">
      <c r="A239" t="s">
        <v>247</v>
      </c>
      <c r="B239" s="3">
        <v>46140</v>
      </c>
      <c r="C239" t="s">
        <v>9</v>
      </c>
      <c r="D239">
        <v>71</v>
      </c>
      <c r="E239" s="4">
        <v>321.7</v>
      </c>
      <c r="F239" s="4">
        <v>0</v>
      </c>
      <c r="G239" t="s">
        <v>10</v>
      </c>
    </row>
    <row r="240" spans="1:7" ht="15" customHeight="1" x14ac:dyDescent="0.35">
      <c r="A240" t="s">
        <v>248</v>
      </c>
      <c r="B240" s="3">
        <v>46175</v>
      </c>
      <c r="C240" t="s">
        <v>9</v>
      </c>
      <c r="D240">
        <v>42</v>
      </c>
      <c r="E240" s="4">
        <v>362.48</v>
      </c>
      <c r="F240" s="4">
        <v>0</v>
      </c>
      <c r="G240" t="s">
        <v>10</v>
      </c>
    </row>
    <row r="241" spans="1:7" ht="15" customHeight="1" x14ac:dyDescent="0.35">
      <c r="A241" t="s">
        <v>249</v>
      </c>
      <c r="B241" s="3">
        <v>45764</v>
      </c>
      <c r="C241" t="s">
        <v>16</v>
      </c>
      <c r="D241">
        <v>19</v>
      </c>
      <c r="E241" s="4">
        <v>453.01</v>
      </c>
      <c r="F241" s="4">
        <v>0</v>
      </c>
      <c r="G241" t="s">
        <v>10</v>
      </c>
    </row>
    <row r="242" spans="1:7" ht="15" customHeight="1" x14ac:dyDescent="0.35">
      <c r="A242" t="s">
        <v>250</v>
      </c>
      <c r="B242" s="3"/>
      <c r="C242" t="s">
        <v>40</v>
      </c>
      <c r="D242">
        <v>62</v>
      </c>
      <c r="E242" s="4">
        <v>82.95</v>
      </c>
      <c r="F242" s="4">
        <v>392.84</v>
      </c>
      <c r="G242" t="s">
        <v>30</v>
      </c>
    </row>
    <row r="243" spans="1:7" ht="15" customHeight="1" x14ac:dyDescent="0.35">
      <c r="A243" t="s">
        <v>251</v>
      </c>
      <c r="B243" s="3"/>
      <c r="C243" t="s">
        <v>16</v>
      </c>
      <c r="D243">
        <v>65</v>
      </c>
      <c r="E243" s="4">
        <v>431.88</v>
      </c>
      <c r="F243" s="4">
        <v>0</v>
      </c>
      <c r="G243" t="s">
        <v>10</v>
      </c>
    </row>
    <row r="244" spans="1:7" ht="15" customHeight="1" x14ac:dyDescent="0.35">
      <c r="A244" t="s">
        <v>252</v>
      </c>
      <c r="B244" s="3">
        <v>46063</v>
      </c>
      <c r="C244" t="s">
        <v>9</v>
      </c>
      <c r="D244">
        <v>19</v>
      </c>
      <c r="E244" s="4">
        <v>343.27</v>
      </c>
      <c r="F244" s="4">
        <v>0</v>
      </c>
      <c r="G244" t="s">
        <v>10</v>
      </c>
    </row>
    <row r="245" spans="1:7" ht="15" customHeight="1" x14ac:dyDescent="0.35">
      <c r="A245" t="s">
        <v>253</v>
      </c>
      <c r="B245" s="3">
        <v>46039</v>
      </c>
      <c r="C245" t="s">
        <v>9</v>
      </c>
      <c r="D245">
        <v>51</v>
      </c>
      <c r="E245" s="4"/>
      <c r="F245" s="4">
        <v>0</v>
      </c>
      <c r="G245" t="s">
        <v>10</v>
      </c>
    </row>
    <row r="246" spans="1:7" ht="15" customHeight="1" x14ac:dyDescent="0.35">
      <c r="A246" t="s">
        <v>254</v>
      </c>
      <c r="B246" s="3">
        <v>45867</v>
      </c>
      <c r="C246" t="s">
        <v>12</v>
      </c>
      <c r="D246">
        <v>58</v>
      </c>
      <c r="E246" s="4">
        <v>325.07</v>
      </c>
      <c r="F246" s="4">
        <v>0</v>
      </c>
    </row>
    <row r="247" spans="1:7" ht="15" customHeight="1" x14ac:dyDescent="0.35">
      <c r="A247" t="s">
        <v>255</v>
      </c>
      <c r="B247" s="3">
        <v>45742</v>
      </c>
      <c r="C247" t="s">
        <v>16</v>
      </c>
      <c r="D247">
        <v>77</v>
      </c>
      <c r="E247" s="4">
        <v>413.96</v>
      </c>
      <c r="F247" s="4">
        <v>0</v>
      </c>
      <c r="G247" t="s">
        <v>10</v>
      </c>
    </row>
    <row r="248" spans="1:7" ht="15" customHeight="1" x14ac:dyDescent="0.35">
      <c r="A248" t="s">
        <v>256</v>
      </c>
      <c r="B248" s="3">
        <v>46073</v>
      </c>
      <c r="C248" t="s">
        <v>19</v>
      </c>
      <c r="D248">
        <v>72</v>
      </c>
      <c r="E248" s="4"/>
      <c r="F248" s="4">
        <v>698.12</v>
      </c>
      <c r="G248" t="s">
        <v>257</v>
      </c>
    </row>
    <row r="249" spans="1:7" ht="15" customHeight="1" x14ac:dyDescent="0.35">
      <c r="A249" t="s">
        <v>249</v>
      </c>
      <c r="B249" s="3">
        <v>45764</v>
      </c>
      <c r="C249" t="s">
        <v>16</v>
      </c>
      <c r="D249">
        <v>19</v>
      </c>
      <c r="E249" s="4">
        <v>453.01</v>
      </c>
      <c r="F249" s="4">
        <v>0</v>
      </c>
      <c r="G249" t="s">
        <v>10</v>
      </c>
    </row>
    <row r="250" spans="1:7" ht="15" customHeight="1" x14ac:dyDescent="0.35">
      <c r="A250" t="s">
        <v>258</v>
      </c>
      <c r="B250" s="3">
        <v>45687</v>
      </c>
      <c r="C250" t="s">
        <v>16</v>
      </c>
      <c r="D250">
        <v>22</v>
      </c>
      <c r="E250" s="4">
        <v>374.71</v>
      </c>
      <c r="F250" s="4">
        <v>0</v>
      </c>
      <c r="G250" t="s">
        <v>10</v>
      </c>
    </row>
    <row r="251" spans="1:7" ht="15" customHeight="1" x14ac:dyDescent="0.35">
      <c r="A251" t="s">
        <v>259</v>
      </c>
      <c r="B251" s="3">
        <v>45713</v>
      </c>
      <c r="C251" t="s">
        <v>19</v>
      </c>
      <c r="D251">
        <v>48</v>
      </c>
      <c r="E251" s="4">
        <v>317.73</v>
      </c>
      <c r="F251" s="4">
        <v>0</v>
      </c>
      <c r="G251" t="s">
        <v>10</v>
      </c>
    </row>
    <row r="252" spans="1:7" ht="15" customHeight="1" x14ac:dyDescent="0.35">
      <c r="A252" t="s">
        <v>260</v>
      </c>
      <c r="B252" s="3">
        <v>45939</v>
      </c>
      <c r="C252" t="s">
        <v>12</v>
      </c>
      <c r="D252">
        <v>51</v>
      </c>
      <c r="E252" s="4">
        <v>215.49</v>
      </c>
      <c r="F252" s="4">
        <v>2409.1799999999998</v>
      </c>
      <c r="G252" t="s">
        <v>17</v>
      </c>
    </row>
    <row r="253" spans="1:7" ht="15" customHeight="1" x14ac:dyDescent="0.35">
      <c r="A253" t="s">
        <v>261</v>
      </c>
      <c r="B253" s="3">
        <v>46119</v>
      </c>
      <c r="C253" t="s">
        <v>9</v>
      </c>
      <c r="D253">
        <v>50</v>
      </c>
      <c r="E253" s="4">
        <v>372.44</v>
      </c>
      <c r="F253" s="4">
        <v>0</v>
      </c>
      <c r="G253" t="s">
        <v>10</v>
      </c>
    </row>
    <row r="254" spans="1:7" ht="15" customHeight="1" x14ac:dyDescent="0.35">
      <c r="B254" s="3">
        <v>46178</v>
      </c>
      <c r="C254" t="s">
        <v>19</v>
      </c>
      <c r="D254">
        <v>75</v>
      </c>
      <c r="E254" s="4">
        <v>316.19</v>
      </c>
      <c r="F254" s="4">
        <v>0</v>
      </c>
      <c r="G254" t="s">
        <v>10</v>
      </c>
    </row>
    <row r="255" spans="1:7" ht="15" customHeight="1" x14ac:dyDescent="0.35">
      <c r="A255" t="s">
        <v>262</v>
      </c>
      <c r="B255" s="3">
        <v>46028</v>
      </c>
      <c r="D255">
        <v>58</v>
      </c>
      <c r="E255" s="4">
        <v>378.74</v>
      </c>
      <c r="F255" s="4"/>
      <c r="G255" t="s">
        <v>10</v>
      </c>
    </row>
    <row r="256" spans="1:7" ht="15" customHeight="1" x14ac:dyDescent="0.35">
      <c r="B256" s="3">
        <v>46030</v>
      </c>
      <c r="C256" t="s">
        <v>16</v>
      </c>
      <c r="D256">
        <v>64</v>
      </c>
      <c r="E256" s="4">
        <v>557.05999999999995</v>
      </c>
      <c r="F256" s="4">
        <v>0</v>
      </c>
      <c r="G256" t="s">
        <v>10</v>
      </c>
    </row>
    <row r="257" spans="1:7" ht="15" customHeight="1" x14ac:dyDescent="0.35">
      <c r="A257" t="s">
        <v>263</v>
      </c>
      <c r="B257" s="3">
        <v>46019</v>
      </c>
      <c r="C257" t="s">
        <v>19</v>
      </c>
      <c r="E257" s="4">
        <v>346.65</v>
      </c>
      <c r="F257" s="4">
        <v>2892.68</v>
      </c>
      <c r="G257" t="s">
        <v>13</v>
      </c>
    </row>
    <row r="258" spans="1:7" ht="15" customHeight="1" x14ac:dyDescent="0.35">
      <c r="A258" t="s">
        <v>264</v>
      </c>
      <c r="B258" s="3">
        <v>45724</v>
      </c>
      <c r="C258" t="s">
        <v>9</v>
      </c>
      <c r="D258">
        <v>59</v>
      </c>
      <c r="E258" s="4">
        <v>372.8</v>
      </c>
      <c r="F258" s="4">
        <v>0</v>
      </c>
      <c r="G258" t="s">
        <v>10</v>
      </c>
    </row>
    <row r="259" spans="1:7" ht="15" customHeight="1" x14ac:dyDescent="0.35">
      <c r="A259" t="s">
        <v>265</v>
      </c>
      <c r="B259" s="3">
        <v>45910</v>
      </c>
      <c r="C259" t="s">
        <v>16</v>
      </c>
      <c r="D259">
        <v>45</v>
      </c>
      <c r="E259" s="4">
        <v>380.64</v>
      </c>
      <c r="F259" s="4">
        <v>0</v>
      </c>
      <c r="G259" t="s">
        <v>10</v>
      </c>
    </row>
    <row r="260" spans="1:7" ht="15" customHeight="1" x14ac:dyDescent="0.35">
      <c r="B260" s="3">
        <v>46072</v>
      </c>
      <c r="C260" t="s">
        <v>16</v>
      </c>
      <c r="D260">
        <v>69</v>
      </c>
      <c r="E260" s="4">
        <v>462.52</v>
      </c>
      <c r="F260" s="4">
        <v>0</v>
      </c>
      <c r="G260" t="s">
        <v>10</v>
      </c>
    </row>
    <row r="261" spans="1:7" ht="15" customHeight="1" x14ac:dyDescent="0.35">
      <c r="A261" t="s">
        <v>266</v>
      </c>
      <c r="B261" s="3"/>
      <c r="C261" t="s">
        <v>40</v>
      </c>
      <c r="D261">
        <v>37</v>
      </c>
      <c r="E261" s="4">
        <v>120.35</v>
      </c>
      <c r="F261" s="4">
        <v>726.42</v>
      </c>
      <c r="G261" t="s">
        <v>17</v>
      </c>
    </row>
    <row r="262" spans="1:7" ht="15" customHeight="1" x14ac:dyDescent="0.35">
      <c r="A262" t="s">
        <v>267</v>
      </c>
      <c r="B262" s="3"/>
      <c r="C262" t="s">
        <v>19</v>
      </c>
      <c r="D262">
        <v>74</v>
      </c>
      <c r="E262" s="4">
        <v>280.08999999999997</v>
      </c>
      <c r="F262" s="4">
        <v>2331.2600000000002</v>
      </c>
      <c r="G262" t="s">
        <v>17</v>
      </c>
    </row>
    <row r="263" spans="1:7" ht="15" customHeight="1" x14ac:dyDescent="0.35">
      <c r="A263" t="s">
        <v>268</v>
      </c>
      <c r="B263" s="3">
        <v>45798</v>
      </c>
      <c r="C263" t="s">
        <v>40</v>
      </c>
      <c r="D263">
        <v>40</v>
      </c>
      <c r="E263" s="4">
        <v>124.72</v>
      </c>
      <c r="F263" s="4"/>
      <c r="G263" t="s">
        <v>17</v>
      </c>
    </row>
    <row r="264" spans="1:7" ht="15" customHeight="1" x14ac:dyDescent="0.35">
      <c r="A264" t="s">
        <v>269</v>
      </c>
      <c r="B264" s="3">
        <v>45741</v>
      </c>
      <c r="D264">
        <v>29</v>
      </c>
      <c r="E264" s="4">
        <v>281.58999999999997</v>
      </c>
      <c r="F264" s="4">
        <v>0</v>
      </c>
      <c r="G264" t="s">
        <v>10</v>
      </c>
    </row>
    <row r="265" spans="1:7" ht="15" customHeight="1" x14ac:dyDescent="0.35">
      <c r="A265" t="s">
        <v>270</v>
      </c>
      <c r="B265" s="3">
        <v>46078</v>
      </c>
      <c r="C265" t="s">
        <v>19</v>
      </c>
      <c r="D265">
        <v>47</v>
      </c>
      <c r="E265" s="4">
        <v>387.89</v>
      </c>
      <c r="F265" s="4"/>
      <c r="G265" t="s">
        <v>10</v>
      </c>
    </row>
    <row r="266" spans="1:7" ht="15" customHeight="1" x14ac:dyDescent="0.35">
      <c r="A266" t="s">
        <v>271</v>
      </c>
      <c r="B266" s="3">
        <v>45869</v>
      </c>
      <c r="C266" t="s">
        <v>12</v>
      </c>
      <c r="D266">
        <v>65</v>
      </c>
      <c r="E266" s="4">
        <v>276.33999999999997</v>
      </c>
      <c r="F266" s="4">
        <v>0</v>
      </c>
      <c r="G266" t="s">
        <v>10</v>
      </c>
    </row>
    <row r="267" spans="1:7" ht="15" customHeight="1" x14ac:dyDescent="0.35">
      <c r="B267" s="3">
        <v>45901</v>
      </c>
      <c r="C267" t="s">
        <v>12</v>
      </c>
      <c r="D267">
        <v>72</v>
      </c>
      <c r="E267" s="4">
        <v>317.27</v>
      </c>
      <c r="F267" s="4">
        <v>1280.27</v>
      </c>
      <c r="G267" t="s">
        <v>30</v>
      </c>
    </row>
    <row r="268" spans="1:7" ht="15" customHeight="1" x14ac:dyDescent="0.35">
      <c r="A268" t="s">
        <v>272</v>
      </c>
      <c r="B268" s="3">
        <v>45758</v>
      </c>
      <c r="C268" t="s">
        <v>9</v>
      </c>
      <c r="D268">
        <v>24</v>
      </c>
      <c r="E268" s="4">
        <v>448.65</v>
      </c>
      <c r="F268" s="4">
        <v>0</v>
      </c>
      <c r="G268" t="s">
        <v>10</v>
      </c>
    </row>
    <row r="269" spans="1:7" ht="15" customHeight="1" x14ac:dyDescent="0.35">
      <c r="A269" t="s">
        <v>273</v>
      </c>
      <c r="B269" s="3">
        <v>45974</v>
      </c>
      <c r="C269" t="s">
        <v>19</v>
      </c>
      <c r="D269">
        <v>30</v>
      </c>
      <c r="E269" s="4">
        <v>443.86</v>
      </c>
      <c r="F269" s="4">
        <v>0</v>
      </c>
      <c r="G269" t="s">
        <v>10</v>
      </c>
    </row>
    <row r="270" spans="1:7" ht="15" customHeight="1" x14ac:dyDescent="0.35">
      <c r="A270" t="s">
        <v>274</v>
      </c>
      <c r="B270" s="3"/>
      <c r="C270" t="s">
        <v>12</v>
      </c>
      <c r="D270">
        <v>35</v>
      </c>
      <c r="E270" s="4">
        <v>360.73</v>
      </c>
      <c r="F270" s="4">
        <v>0</v>
      </c>
      <c r="G270" t="s">
        <v>10</v>
      </c>
    </row>
    <row r="271" spans="1:7" ht="15" customHeight="1" x14ac:dyDescent="0.35">
      <c r="A271" t="s">
        <v>275</v>
      </c>
      <c r="B271" s="3">
        <v>45740</v>
      </c>
      <c r="C271" t="s">
        <v>19</v>
      </c>
      <c r="D271">
        <v>29</v>
      </c>
      <c r="E271" s="4">
        <v>306.83</v>
      </c>
      <c r="F271" s="4">
        <v>2131.71</v>
      </c>
      <c r="G271" t="s">
        <v>13</v>
      </c>
    </row>
    <row r="272" spans="1:7" ht="15" customHeight="1" x14ac:dyDescent="0.35">
      <c r="A272" t="s">
        <v>276</v>
      </c>
      <c r="B272" s="3">
        <v>46048</v>
      </c>
      <c r="C272" t="s">
        <v>19</v>
      </c>
      <c r="D272">
        <v>30</v>
      </c>
      <c r="E272" s="4">
        <v>279.14</v>
      </c>
      <c r="F272" s="4">
        <v>1797.64</v>
      </c>
      <c r="G272" t="s">
        <v>17</v>
      </c>
    </row>
    <row r="273" spans="1:7" ht="15" customHeight="1" x14ac:dyDescent="0.35">
      <c r="A273" t="s">
        <v>277</v>
      </c>
      <c r="B273" s="3">
        <v>45847</v>
      </c>
      <c r="C273" t="s">
        <v>9</v>
      </c>
      <c r="D273">
        <v>66</v>
      </c>
      <c r="E273" s="4">
        <v>506.16</v>
      </c>
      <c r="F273" s="4">
        <v>2615.4899999999998</v>
      </c>
      <c r="G273" t="s">
        <v>17</v>
      </c>
    </row>
    <row r="274" spans="1:7" ht="15" customHeight="1" x14ac:dyDescent="0.35">
      <c r="A274" t="s">
        <v>278</v>
      </c>
      <c r="B274" s="3">
        <v>45735</v>
      </c>
      <c r="C274" t="s">
        <v>16</v>
      </c>
      <c r="D274">
        <v>75</v>
      </c>
      <c r="E274" s="4">
        <v>377.49</v>
      </c>
      <c r="F274" s="4"/>
      <c r="G274" t="s">
        <v>13</v>
      </c>
    </row>
    <row r="275" spans="1:7" ht="15" customHeight="1" x14ac:dyDescent="0.35">
      <c r="A275" t="s">
        <v>279</v>
      </c>
      <c r="B275" s="3">
        <v>45786</v>
      </c>
      <c r="C275" t="s">
        <v>12</v>
      </c>
      <c r="E275" s="4">
        <v>246.65</v>
      </c>
      <c r="F275" s="4">
        <v>0</v>
      </c>
      <c r="G275" t="s">
        <v>10</v>
      </c>
    </row>
    <row r="276" spans="1:7" ht="15" customHeight="1" x14ac:dyDescent="0.35">
      <c r="A276" t="s">
        <v>280</v>
      </c>
      <c r="B276" s="3">
        <v>45792</v>
      </c>
      <c r="C276" t="s">
        <v>19</v>
      </c>
      <c r="D276">
        <v>74</v>
      </c>
      <c r="E276" s="4">
        <v>394.49</v>
      </c>
      <c r="F276" s="4"/>
      <c r="G276" t="s">
        <v>17</v>
      </c>
    </row>
    <row r="277" spans="1:7" ht="15" customHeight="1" x14ac:dyDescent="0.35">
      <c r="A277" t="s">
        <v>281</v>
      </c>
      <c r="B277" s="3">
        <v>46011</v>
      </c>
      <c r="C277" t="s">
        <v>16</v>
      </c>
      <c r="D277">
        <v>23</v>
      </c>
      <c r="E277" s="4">
        <v>524.87</v>
      </c>
      <c r="F277" s="4">
        <v>4345.62</v>
      </c>
      <c r="G277" t="s">
        <v>30</v>
      </c>
    </row>
    <row r="278" spans="1:7" ht="15" customHeight="1" x14ac:dyDescent="0.35">
      <c r="A278" t="s">
        <v>282</v>
      </c>
      <c r="B278" s="3"/>
      <c r="C278" t="s">
        <v>9</v>
      </c>
      <c r="D278">
        <v>31</v>
      </c>
      <c r="E278" s="4">
        <v>465.26</v>
      </c>
      <c r="F278" s="4">
        <v>2501.64</v>
      </c>
      <c r="G278" t="s">
        <v>13</v>
      </c>
    </row>
    <row r="279" spans="1:7" ht="15" customHeight="1" x14ac:dyDescent="0.35">
      <c r="A279" t="s">
        <v>283</v>
      </c>
      <c r="B279" s="3">
        <v>45672</v>
      </c>
      <c r="D279">
        <v>74</v>
      </c>
      <c r="E279" s="4">
        <v>260.27999999999997</v>
      </c>
      <c r="F279" s="4">
        <v>896.46</v>
      </c>
      <c r="G279" t="s">
        <v>30</v>
      </c>
    </row>
    <row r="280" spans="1:7" ht="15" customHeight="1" x14ac:dyDescent="0.35">
      <c r="A280" t="s">
        <v>284</v>
      </c>
      <c r="B280" s="3">
        <v>46103</v>
      </c>
      <c r="C280" t="s">
        <v>40</v>
      </c>
      <c r="D280">
        <v>57</v>
      </c>
      <c r="E280" s="4">
        <v>107.21</v>
      </c>
      <c r="F280" s="4"/>
      <c r="G280" t="s">
        <v>17</v>
      </c>
    </row>
    <row r="281" spans="1:7" ht="15" customHeight="1" x14ac:dyDescent="0.35">
      <c r="A281" t="s">
        <v>285</v>
      </c>
      <c r="B281" s="3">
        <v>45658</v>
      </c>
      <c r="C281" t="s">
        <v>16</v>
      </c>
      <c r="E281" s="4">
        <v>540.16999999999996</v>
      </c>
      <c r="F281" s="4">
        <v>2816.84</v>
      </c>
      <c r="G281" t="s">
        <v>17</v>
      </c>
    </row>
    <row r="282" spans="1:7" ht="15" customHeight="1" x14ac:dyDescent="0.35">
      <c r="A282" t="s">
        <v>286</v>
      </c>
      <c r="B282" s="3">
        <v>45674</v>
      </c>
      <c r="C282" t="s">
        <v>9</v>
      </c>
      <c r="D282">
        <v>30</v>
      </c>
      <c r="E282" s="4">
        <v>403.38</v>
      </c>
      <c r="F282" s="4">
        <v>0</v>
      </c>
      <c r="G282" t="s">
        <v>10</v>
      </c>
    </row>
    <row r="283" spans="1:7" ht="15" customHeight="1" x14ac:dyDescent="0.35">
      <c r="A283" t="s">
        <v>287</v>
      </c>
      <c r="B283" s="3">
        <v>45871</v>
      </c>
      <c r="C283" t="s">
        <v>19</v>
      </c>
      <c r="D283">
        <v>24</v>
      </c>
      <c r="E283" s="4">
        <v>341.31</v>
      </c>
      <c r="F283" s="4">
        <v>1903.29</v>
      </c>
      <c r="G283" t="s">
        <v>17</v>
      </c>
    </row>
    <row r="284" spans="1:7" ht="15" customHeight="1" x14ac:dyDescent="0.35">
      <c r="A284" t="s">
        <v>288</v>
      </c>
      <c r="B284" s="3"/>
      <c r="C284" t="s">
        <v>9</v>
      </c>
      <c r="D284">
        <v>19</v>
      </c>
      <c r="E284" s="4">
        <v>366.05</v>
      </c>
      <c r="F284" s="4">
        <v>0</v>
      </c>
      <c r="G284" t="s">
        <v>10</v>
      </c>
    </row>
    <row r="285" spans="1:7" ht="15" customHeight="1" x14ac:dyDescent="0.35">
      <c r="A285" t="s">
        <v>289</v>
      </c>
      <c r="B285" s="3">
        <v>45905</v>
      </c>
      <c r="C285" t="s">
        <v>19</v>
      </c>
      <c r="D285">
        <v>62</v>
      </c>
      <c r="E285" s="4">
        <v>316.27999999999997</v>
      </c>
      <c r="F285" s="4">
        <v>2676.48</v>
      </c>
      <c r="G285" t="s">
        <v>17</v>
      </c>
    </row>
    <row r="286" spans="1:7" ht="15" customHeight="1" x14ac:dyDescent="0.35">
      <c r="A286" t="s">
        <v>23</v>
      </c>
      <c r="B286" s="3">
        <v>45905</v>
      </c>
      <c r="C286" t="s">
        <v>12</v>
      </c>
      <c r="D286">
        <v>23</v>
      </c>
      <c r="E286" s="4">
        <v>339.63</v>
      </c>
      <c r="F286" s="4">
        <v>0</v>
      </c>
      <c r="G286" t="s">
        <v>10</v>
      </c>
    </row>
    <row r="287" spans="1:7" ht="15" customHeight="1" x14ac:dyDescent="0.35">
      <c r="A287" t="s">
        <v>290</v>
      </c>
      <c r="B287" s="3">
        <v>46097</v>
      </c>
      <c r="C287" t="s">
        <v>12</v>
      </c>
      <c r="D287">
        <v>31</v>
      </c>
      <c r="E287" s="4"/>
      <c r="F287" s="4">
        <v>0</v>
      </c>
      <c r="G287" t="s">
        <v>10</v>
      </c>
    </row>
    <row r="288" spans="1:7" ht="15" customHeight="1" x14ac:dyDescent="0.35">
      <c r="A288" t="s">
        <v>291</v>
      </c>
      <c r="B288" s="3">
        <v>45793</v>
      </c>
      <c r="C288" t="s">
        <v>12</v>
      </c>
      <c r="D288">
        <v>36</v>
      </c>
      <c r="E288" s="4">
        <v>234.21</v>
      </c>
      <c r="F288" s="4">
        <v>0</v>
      </c>
      <c r="G288" t="s">
        <v>10</v>
      </c>
    </row>
    <row r="289" spans="1:7" ht="15" customHeight="1" x14ac:dyDescent="0.35">
      <c r="A289" t="s">
        <v>292</v>
      </c>
      <c r="B289" s="3">
        <v>45997</v>
      </c>
      <c r="D289">
        <v>60</v>
      </c>
      <c r="E289" s="4">
        <v>118.77</v>
      </c>
      <c r="F289" s="4">
        <v>0</v>
      </c>
      <c r="G289" t="s">
        <v>10</v>
      </c>
    </row>
    <row r="290" spans="1:7" ht="15" customHeight="1" x14ac:dyDescent="0.35">
      <c r="A290" t="s">
        <v>293</v>
      </c>
      <c r="B290" s="3">
        <v>45803</v>
      </c>
      <c r="D290">
        <v>37</v>
      </c>
      <c r="E290" s="4">
        <v>368.48</v>
      </c>
      <c r="F290" s="4">
        <v>1534.08</v>
      </c>
      <c r="G290" t="s">
        <v>30</v>
      </c>
    </row>
    <row r="291" spans="1:7" ht="15" customHeight="1" x14ac:dyDescent="0.35">
      <c r="A291" t="s">
        <v>272</v>
      </c>
      <c r="B291" s="3">
        <v>45758</v>
      </c>
      <c r="C291" t="s">
        <v>9</v>
      </c>
      <c r="D291">
        <v>24</v>
      </c>
      <c r="E291" s="4">
        <v>-7</v>
      </c>
      <c r="F291" s="4">
        <v>0</v>
      </c>
      <c r="G291" t="s">
        <v>10</v>
      </c>
    </row>
    <row r="292" spans="1:7" ht="15" customHeight="1" x14ac:dyDescent="0.35">
      <c r="A292" t="s">
        <v>294</v>
      </c>
      <c r="B292" s="3">
        <v>45856</v>
      </c>
      <c r="C292" t="s">
        <v>12</v>
      </c>
      <c r="D292">
        <v>40</v>
      </c>
      <c r="E292" s="4">
        <v>350.67</v>
      </c>
      <c r="F292" s="4">
        <v>601.96</v>
      </c>
      <c r="G292" t="s">
        <v>13</v>
      </c>
    </row>
    <row r="293" spans="1:7" ht="15" customHeight="1" x14ac:dyDescent="0.35">
      <c r="A293" t="s">
        <v>295</v>
      </c>
      <c r="B293" s="3">
        <v>45858</v>
      </c>
      <c r="C293" t="s">
        <v>16</v>
      </c>
      <c r="D293">
        <v>50</v>
      </c>
      <c r="E293" s="4">
        <v>376.36</v>
      </c>
      <c r="F293" s="4">
        <v>1097.74</v>
      </c>
      <c r="G293" t="s">
        <v>13</v>
      </c>
    </row>
    <row r="294" spans="1:7" ht="15" customHeight="1" x14ac:dyDescent="0.35">
      <c r="A294" t="s">
        <v>296</v>
      </c>
      <c r="B294" s="3">
        <v>46228</v>
      </c>
      <c r="C294" t="s">
        <v>19</v>
      </c>
      <c r="D294">
        <v>52</v>
      </c>
      <c r="E294" s="4">
        <v>339.59</v>
      </c>
      <c r="F294" s="4">
        <v>0</v>
      </c>
      <c r="G294" t="s">
        <v>10</v>
      </c>
    </row>
    <row r="295" spans="1:7" ht="15" customHeight="1" x14ac:dyDescent="0.35">
      <c r="B295" s="3">
        <v>46114</v>
      </c>
      <c r="C295" t="s">
        <v>12</v>
      </c>
      <c r="D295">
        <v>31</v>
      </c>
      <c r="E295" s="4">
        <v>272.62</v>
      </c>
      <c r="F295" s="4">
        <v>2256.0300000000002</v>
      </c>
      <c r="G295" t="s">
        <v>17</v>
      </c>
    </row>
    <row r="296" spans="1:7" ht="15" customHeight="1" x14ac:dyDescent="0.35">
      <c r="A296" t="s">
        <v>297</v>
      </c>
      <c r="B296" s="3">
        <v>45919</v>
      </c>
      <c r="C296" t="s">
        <v>19</v>
      </c>
      <c r="D296">
        <v>68</v>
      </c>
      <c r="E296" s="4">
        <v>436.45</v>
      </c>
      <c r="F296" s="4">
        <v>2970.52</v>
      </c>
      <c r="G296" t="s">
        <v>17</v>
      </c>
    </row>
    <row r="297" spans="1:7" ht="15" customHeight="1" x14ac:dyDescent="0.35">
      <c r="A297" t="s">
        <v>298</v>
      </c>
      <c r="B297" s="3">
        <v>45744</v>
      </c>
      <c r="C297" t="s">
        <v>9</v>
      </c>
      <c r="D297">
        <v>26</v>
      </c>
      <c r="E297" s="4">
        <v>504.32</v>
      </c>
      <c r="F297" s="4">
        <v>1353.33</v>
      </c>
      <c r="G297" t="s">
        <v>17</v>
      </c>
    </row>
    <row r="298" spans="1:7" ht="15" customHeight="1" x14ac:dyDescent="0.35">
      <c r="A298" t="s">
        <v>299</v>
      </c>
      <c r="B298" s="3">
        <v>46038</v>
      </c>
      <c r="C298" t="s">
        <v>19</v>
      </c>
      <c r="E298" s="4">
        <v>257.97000000000003</v>
      </c>
      <c r="F298" s="4">
        <v>0</v>
      </c>
      <c r="G298" t="s">
        <v>10</v>
      </c>
    </row>
    <row r="299" spans="1:7" ht="15" customHeight="1" x14ac:dyDescent="0.35">
      <c r="A299" t="s">
        <v>300</v>
      </c>
      <c r="B299" s="3">
        <v>45929</v>
      </c>
      <c r="C299" t="s">
        <v>12</v>
      </c>
      <c r="D299">
        <v>46</v>
      </c>
      <c r="E299" s="4">
        <v>-9</v>
      </c>
      <c r="F299" s="4">
        <v>0</v>
      </c>
      <c r="G299" t="s">
        <v>10</v>
      </c>
    </row>
    <row r="300" spans="1:7" ht="15" customHeight="1" x14ac:dyDescent="0.35">
      <c r="A300" t="s">
        <v>301</v>
      </c>
      <c r="B300" s="3">
        <v>46054</v>
      </c>
      <c r="C300" t="s">
        <v>12</v>
      </c>
      <c r="E300" s="4">
        <v>287.26</v>
      </c>
      <c r="F300" s="4">
        <v>0</v>
      </c>
      <c r="G300" t="s">
        <v>10</v>
      </c>
    </row>
    <row r="301" spans="1:7" ht="15" customHeight="1" x14ac:dyDescent="0.35">
      <c r="A301" t="s">
        <v>302</v>
      </c>
      <c r="B301" s="3">
        <v>46033</v>
      </c>
      <c r="C301" t="s">
        <v>19</v>
      </c>
      <c r="D301">
        <v>30</v>
      </c>
      <c r="E301" s="4">
        <v>387.67</v>
      </c>
      <c r="F301" s="4">
        <v>0</v>
      </c>
      <c r="G301" t="s">
        <v>10</v>
      </c>
    </row>
    <row r="302" spans="1:7" ht="15" customHeight="1" x14ac:dyDescent="0.35">
      <c r="A302" t="s">
        <v>303</v>
      </c>
      <c r="B302" s="3">
        <v>46107</v>
      </c>
      <c r="C302" t="s">
        <v>9</v>
      </c>
      <c r="D302">
        <v>20</v>
      </c>
      <c r="E302" s="4">
        <v>398.51</v>
      </c>
      <c r="F302" s="4">
        <v>0</v>
      </c>
      <c r="G302" t="s">
        <v>10</v>
      </c>
    </row>
    <row r="303" spans="1:7" ht="15" customHeight="1" x14ac:dyDescent="0.35">
      <c r="A303" t="s">
        <v>304</v>
      </c>
      <c r="B303" s="3">
        <v>45889</v>
      </c>
      <c r="C303" t="s">
        <v>9</v>
      </c>
      <c r="D303">
        <v>32</v>
      </c>
      <c r="E303" s="4">
        <v>316.87</v>
      </c>
      <c r="F303" s="4">
        <v>0</v>
      </c>
      <c r="G303" t="s">
        <v>10</v>
      </c>
    </row>
  </sheetData>
  <mergeCells count="1">
    <mergeCell ref="A1:G1"/>
  </mergeCells>
  <pageMargins left="0.3" right="0.3" top="0.4" bottom="0.4" header="0.511811023622047" footer="0.511811023622047"/>
  <pageSetup paperSize="9" fitToHeight="0"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pageSetUpPr fitToPage="1"/>
  </sheetPr>
  <dimension ref="A1:Q281"/>
  <sheetViews>
    <sheetView showGridLines="0" zoomScaleNormal="100" workbookViewId="0">
      <pane ySplit="3" topLeftCell="A267" activePane="bottomLeft" state="frozen"/>
      <selection pane="bottomLeft" activeCell="Q3" sqref="Q3"/>
    </sheetView>
  </sheetViews>
  <sheetFormatPr defaultColWidth="8.6328125" defaultRowHeight="14.5" x14ac:dyDescent="0.35"/>
  <cols>
    <col min="1" max="8" width="14" customWidth="1"/>
    <col min="9" max="9" width="22" customWidth="1"/>
    <col min="10" max="10" width="10" customWidth="1"/>
    <col min="11" max="13" width="14" customWidth="1"/>
    <col min="14" max="14" width="20" customWidth="1"/>
    <col min="15" max="17" width="14" customWidth="1"/>
  </cols>
  <sheetData>
    <row r="1" spans="1:17" ht="15.75" customHeight="1" x14ac:dyDescent="0.35">
      <c r="A1" s="32" t="s">
        <v>305</v>
      </c>
      <c r="B1" s="32"/>
      <c r="C1" s="32"/>
      <c r="D1" s="32"/>
      <c r="E1" s="32"/>
      <c r="F1" s="32"/>
      <c r="G1" s="32"/>
      <c r="H1" s="32"/>
      <c r="I1" s="32"/>
      <c r="J1" s="32"/>
      <c r="K1" s="32"/>
      <c r="L1" s="32"/>
      <c r="M1" s="32"/>
      <c r="N1" s="32"/>
    </row>
    <row r="3" spans="1:17" ht="26.25" customHeight="1" x14ac:dyDescent="0.35">
      <c r="A3" s="5" t="s">
        <v>306</v>
      </c>
      <c r="B3" s="5" t="s">
        <v>1</v>
      </c>
      <c r="C3" s="5" t="s">
        <v>2</v>
      </c>
      <c r="D3" s="5" t="s">
        <v>3</v>
      </c>
      <c r="E3" s="5" t="s">
        <v>4</v>
      </c>
      <c r="F3" s="5" t="s">
        <v>5</v>
      </c>
      <c r="G3" s="5" t="s">
        <v>6</v>
      </c>
      <c r="H3" s="5" t="s">
        <v>7</v>
      </c>
      <c r="I3" s="5" t="s">
        <v>307</v>
      </c>
      <c r="J3" s="5" t="s">
        <v>308</v>
      </c>
      <c r="K3" s="5" t="s">
        <v>309</v>
      </c>
      <c r="L3" s="5" t="s">
        <v>310</v>
      </c>
      <c r="M3" s="5" t="s">
        <v>311</v>
      </c>
      <c r="N3" s="5" t="s">
        <v>312</v>
      </c>
      <c r="O3" s="5" t="s">
        <v>313</v>
      </c>
      <c r="P3" s="5" t="s">
        <v>314</v>
      </c>
      <c r="Q3" s="5" t="s">
        <v>315</v>
      </c>
    </row>
    <row r="4" spans="1:17" ht="15" customHeight="1" x14ac:dyDescent="0.35">
      <c r="A4">
        <v>1</v>
      </c>
      <c r="B4" t="s">
        <v>8</v>
      </c>
      <c r="C4" s="3">
        <v>45939</v>
      </c>
      <c r="D4" t="s">
        <v>9</v>
      </c>
      <c r="E4" s="6">
        <v>73</v>
      </c>
      <c r="F4" s="7">
        <v>313.10000000000002</v>
      </c>
      <c r="G4" s="7">
        <v>0</v>
      </c>
      <c r="H4" t="s">
        <v>10</v>
      </c>
      <c r="I4" t="s">
        <v>316</v>
      </c>
      <c r="J4" s="6">
        <f t="shared" ref="J4:J67" si="0">YEAR(C4)</f>
        <v>2025</v>
      </c>
      <c r="K4" t="str">
        <f t="shared" ref="K4:K67" si="1">TEXT(C4,"mmm-yyyy")</f>
        <v>Oct-2025</v>
      </c>
      <c r="L4" t="str">
        <f t="shared" ref="L4:L67" si="2">_xlfn.IFS(E4&lt;25,"Young (18-24)",E4&lt;=40,"Adult (25-40)",E4&lt;=60,"Mid-Age (41-60)",TRUE(),"Senior (60+)")</f>
        <v>Senior (60+)</v>
      </c>
      <c r="M4" s="8">
        <f t="shared" ref="M4:M67" si="3">IF(F4=0,0,ROUND(G4/F4,2))</f>
        <v>0</v>
      </c>
      <c r="N4" t="str">
        <f t="shared" ref="N4:N67" si="4">IF(AND(G4&gt;3000,H4="Approved"),"High-Value Approved",IF(OR(H4="Pending",H4="Unknown"),"Needs Review","Normal"))</f>
        <v>Normal</v>
      </c>
      <c r="O4" t="str">
        <f t="shared" ref="O4:O67" si="5">LEFT(B4,3)</f>
        <v>POL</v>
      </c>
      <c r="P4" t="str">
        <f t="shared" ref="P4:P67" si="6">UPPER(D4)</f>
        <v>LIFE</v>
      </c>
      <c r="Q4">
        <f t="shared" ref="Q4:Q67" ca="1" si="7">NETWORKDAYS(C4,TODAY())</f>
        <v>234</v>
      </c>
    </row>
    <row r="5" spans="1:17" ht="15" customHeight="1" x14ac:dyDescent="0.35">
      <c r="A5">
        <v>2</v>
      </c>
      <c r="B5" t="s">
        <v>11</v>
      </c>
      <c r="C5" s="3">
        <v>46136</v>
      </c>
      <c r="D5" t="s">
        <v>12</v>
      </c>
      <c r="E5" s="6">
        <v>31</v>
      </c>
      <c r="F5" s="7">
        <v>323.64</v>
      </c>
      <c r="G5" s="7">
        <v>1646.56</v>
      </c>
      <c r="H5" t="s">
        <v>13</v>
      </c>
      <c r="I5" t="s">
        <v>317</v>
      </c>
      <c r="J5" s="6">
        <f t="shared" si="0"/>
        <v>2026</v>
      </c>
      <c r="K5" t="str">
        <f t="shared" si="1"/>
        <v>Apr-2026</v>
      </c>
      <c r="L5" t="str">
        <f t="shared" si="2"/>
        <v>Adult (25-40)</v>
      </c>
      <c r="M5" s="8">
        <f t="shared" si="3"/>
        <v>5.09</v>
      </c>
      <c r="N5" t="str">
        <f t="shared" si="4"/>
        <v>Needs Review</v>
      </c>
      <c r="O5" t="str">
        <f t="shared" si="5"/>
        <v>POL</v>
      </c>
      <c r="P5" t="str">
        <f t="shared" si="6"/>
        <v>MOTOR</v>
      </c>
      <c r="Q5">
        <f t="shared" ca="1" si="7"/>
        <v>93</v>
      </c>
    </row>
    <row r="6" spans="1:17" ht="15" customHeight="1" x14ac:dyDescent="0.35">
      <c r="A6">
        <v>3</v>
      </c>
      <c r="B6" t="s">
        <v>14</v>
      </c>
      <c r="C6" s="3">
        <v>45701</v>
      </c>
      <c r="D6" t="s">
        <v>9</v>
      </c>
      <c r="E6" s="6">
        <v>37</v>
      </c>
      <c r="F6" s="7">
        <v>333.82</v>
      </c>
      <c r="G6" s="7">
        <v>4200.03</v>
      </c>
      <c r="H6" t="s">
        <v>13</v>
      </c>
      <c r="I6" t="s">
        <v>318</v>
      </c>
      <c r="J6" s="6">
        <f t="shared" si="0"/>
        <v>2025</v>
      </c>
      <c r="K6" t="str">
        <f t="shared" si="1"/>
        <v>Feb-2025</v>
      </c>
      <c r="L6" t="str">
        <f t="shared" si="2"/>
        <v>Adult (25-40)</v>
      </c>
      <c r="M6" s="8">
        <f t="shared" si="3"/>
        <v>12.58</v>
      </c>
      <c r="N6" t="str">
        <f t="shared" si="4"/>
        <v>Needs Review</v>
      </c>
      <c r="O6" t="str">
        <f t="shared" si="5"/>
        <v>POL</v>
      </c>
      <c r="P6" t="str">
        <f t="shared" si="6"/>
        <v>LIFE</v>
      </c>
      <c r="Q6">
        <f t="shared" ca="1" si="7"/>
        <v>404</v>
      </c>
    </row>
    <row r="7" spans="1:17" ht="15" customHeight="1" x14ac:dyDescent="0.35">
      <c r="A7">
        <v>4</v>
      </c>
      <c r="B7" t="s">
        <v>15</v>
      </c>
      <c r="C7" s="3">
        <v>46092</v>
      </c>
      <c r="D7" t="s">
        <v>16</v>
      </c>
      <c r="E7" s="6">
        <v>31</v>
      </c>
      <c r="F7" s="7">
        <v>449.01</v>
      </c>
      <c r="G7" s="7">
        <v>1953.01</v>
      </c>
      <c r="H7" t="s">
        <v>17</v>
      </c>
      <c r="I7" t="s">
        <v>318</v>
      </c>
      <c r="J7" s="6">
        <f t="shared" si="0"/>
        <v>2026</v>
      </c>
      <c r="K7" t="str">
        <f t="shared" si="1"/>
        <v>Mar-2026</v>
      </c>
      <c r="L7" t="str">
        <f t="shared" si="2"/>
        <v>Adult (25-40)</v>
      </c>
      <c r="M7" s="8">
        <f t="shared" si="3"/>
        <v>4.3499999999999996</v>
      </c>
      <c r="N7" t="str">
        <f t="shared" si="4"/>
        <v>Normal</v>
      </c>
      <c r="O7" t="str">
        <f t="shared" si="5"/>
        <v>POL</v>
      </c>
      <c r="P7" t="str">
        <f t="shared" si="6"/>
        <v>PROPERTY</v>
      </c>
      <c r="Q7">
        <f t="shared" ca="1" si="7"/>
        <v>125</v>
      </c>
    </row>
    <row r="8" spans="1:17" ht="15" customHeight="1" x14ac:dyDescent="0.35">
      <c r="A8">
        <v>5</v>
      </c>
      <c r="B8" t="s">
        <v>18</v>
      </c>
      <c r="C8" s="3">
        <v>46002</v>
      </c>
      <c r="D8" t="s">
        <v>19</v>
      </c>
      <c r="E8" s="6">
        <v>28</v>
      </c>
      <c r="F8" s="7">
        <v>378.73</v>
      </c>
      <c r="G8" s="7">
        <v>0</v>
      </c>
      <c r="H8" t="s">
        <v>10</v>
      </c>
      <c r="I8" t="s">
        <v>318</v>
      </c>
      <c r="J8" s="6">
        <f t="shared" si="0"/>
        <v>2025</v>
      </c>
      <c r="K8" t="str">
        <f t="shared" si="1"/>
        <v>Dec-2025</v>
      </c>
      <c r="L8" t="str">
        <f t="shared" si="2"/>
        <v>Adult (25-40)</v>
      </c>
      <c r="M8" s="8">
        <f t="shared" si="3"/>
        <v>0</v>
      </c>
      <c r="N8" t="str">
        <f t="shared" si="4"/>
        <v>Normal</v>
      </c>
      <c r="O8" t="str">
        <f t="shared" si="5"/>
        <v>POL</v>
      </c>
      <c r="P8" t="str">
        <f t="shared" si="6"/>
        <v>HEALTH</v>
      </c>
      <c r="Q8">
        <f t="shared" ca="1" si="7"/>
        <v>189</v>
      </c>
    </row>
    <row r="9" spans="1:17" ht="15" customHeight="1" x14ac:dyDescent="0.35">
      <c r="A9">
        <v>6</v>
      </c>
      <c r="B9" t="s">
        <v>20</v>
      </c>
      <c r="C9" s="3">
        <v>45977</v>
      </c>
      <c r="D9" t="s">
        <v>9</v>
      </c>
      <c r="E9" s="6">
        <v>43</v>
      </c>
      <c r="F9" s="7">
        <v>528.79999999999995</v>
      </c>
      <c r="G9" s="7">
        <v>3093.69</v>
      </c>
      <c r="H9" t="s">
        <v>17</v>
      </c>
      <c r="I9" t="s">
        <v>318</v>
      </c>
      <c r="J9" s="6">
        <f t="shared" si="0"/>
        <v>2025</v>
      </c>
      <c r="K9" t="str">
        <f t="shared" si="1"/>
        <v>Nov-2025</v>
      </c>
      <c r="L9" t="str">
        <f t="shared" si="2"/>
        <v>Mid-Age (41-60)</v>
      </c>
      <c r="M9" s="8">
        <f t="shared" si="3"/>
        <v>5.85</v>
      </c>
      <c r="N9" t="str">
        <f t="shared" si="4"/>
        <v>High-Value Approved</v>
      </c>
      <c r="O9" t="str">
        <f t="shared" si="5"/>
        <v>POL</v>
      </c>
      <c r="P9" t="str">
        <f t="shared" si="6"/>
        <v>LIFE</v>
      </c>
      <c r="Q9">
        <f t="shared" ca="1" si="7"/>
        <v>207</v>
      </c>
    </row>
    <row r="10" spans="1:17" ht="15" customHeight="1" x14ac:dyDescent="0.35">
      <c r="A10">
        <v>7</v>
      </c>
      <c r="B10" t="s">
        <v>21</v>
      </c>
      <c r="C10" s="3">
        <v>45986</v>
      </c>
      <c r="D10" t="s">
        <v>9</v>
      </c>
      <c r="E10" s="6">
        <v>53</v>
      </c>
      <c r="F10" s="7">
        <v>354.41</v>
      </c>
      <c r="G10" s="7">
        <v>391.32</v>
      </c>
      <c r="H10" t="s">
        <v>17</v>
      </c>
      <c r="I10" t="s">
        <v>318</v>
      </c>
      <c r="J10" s="6">
        <f t="shared" si="0"/>
        <v>2025</v>
      </c>
      <c r="K10" t="str">
        <f t="shared" si="1"/>
        <v>Nov-2025</v>
      </c>
      <c r="L10" t="str">
        <f t="shared" si="2"/>
        <v>Mid-Age (41-60)</v>
      </c>
      <c r="M10" s="8">
        <f t="shared" si="3"/>
        <v>1.1000000000000001</v>
      </c>
      <c r="N10" t="str">
        <f t="shared" si="4"/>
        <v>Normal</v>
      </c>
      <c r="O10" t="str">
        <f t="shared" si="5"/>
        <v>POL</v>
      </c>
      <c r="P10" t="str">
        <f t="shared" si="6"/>
        <v>LIFE</v>
      </c>
      <c r="Q10">
        <f t="shared" ca="1" si="7"/>
        <v>201</v>
      </c>
    </row>
    <row r="11" spans="1:17" ht="15" customHeight="1" x14ac:dyDescent="0.35">
      <c r="A11">
        <v>8</v>
      </c>
      <c r="B11" t="s">
        <v>22</v>
      </c>
      <c r="C11" s="3">
        <v>45778</v>
      </c>
      <c r="D11" t="s">
        <v>19</v>
      </c>
      <c r="E11" s="6">
        <v>60</v>
      </c>
      <c r="F11" s="7">
        <v>364.96</v>
      </c>
      <c r="G11" s="7">
        <v>0</v>
      </c>
      <c r="H11" t="s">
        <v>10</v>
      </c>
      <c r="I11" t="s">
        <v>318</v>
      </c>
      <c r="J11" s="6">
        <f t="shared" si="0"/>
        <v>2025</v>
      </c>
      <c r="K11" t="str">
        <f t="shared" si="1"/>
        <v>May-2025</v>
      </c>
      <c r="L11" t="str">
        <f t="shared" si="2"/>
        <v>Mid-Age (41-60)</v>
      </c>
      <c r="M11" s="8">
        <f t="shared" si="3"/>
        <v>0</v>
      </c>
      <c r="N11" t="str">
        <f t="shared" si="4"/>
        <v>Normal</v>
      </c>
      <c r="O11" t="str">
        <f t="shared" si="5"/>
        <v>POL</v>
      </c>
      <c r="P11" t="str">
        <f t="shared" si="6"/>
        <v>HEALTH</v>
      </c>
      <c r="Q11">
        <f t="shared" ca="1" si="7"/>
        <v>349</v>
      </c>
    </row>
    <row r="12" spans="1:17" ht="15" customHeight="1" x14ac:dyDescent="0.35">
      <c r="A12">
        <v>9</v>
      </c>
      <c r="B12" t="s">
        <v>23</v>
      </c>
      <c r="C12" s="3">
        <v>45905</v>
      </c>
      <c r="D12" t="s">
        <v>12</v>
      </c>
      <c r="E12" s="6">
        <v>23</v>
      </c>
      <c r="F12" s="7">
        <v>339.63</v>
      </c>
      <c r="G12" s="7">
        <v>0</v>
      </c>
      <c r="H12" t="s">
        <v>10</v>
      </c>
      <c r="I12" t="s">
        <v>318</v>
      </c>
      <c r="J12" s="6">
        <f t="shared" si="0"/>
        <v>2025</v>
      </c>
      <c r="K12" t="str">
        <f t="shared" si="1"/>
        <v>Sep-2025</v>
      </c>
      <c r="L12" t="str">
        <f t="shared" si="2"/>
        <v>Young (18-24)</v>
      </c>
      <c r="M12" s="8">
        <f t="shared" si="3"/>
        <v>0</v>
      </c>
      <c r="N12" t="str">
        <f t="shared" si="4"/>
        <v>Normal</v>
      </c>
      <c r="O12" t="str">
        <f t="shared" si="5"/>
        <v>POL</v>
      </c>
      <c r="P12" t="str">
        <f t="shared" si="6"/>
        <v>MOTOR</v>
      </c>
      <c r="Q12">
        <f t="shared" ca="1" si="7"/>
        <v>258</v>
      </c>
    </row>
    <row r="13" spans="1:17" ht="15" customHeight="1" x14ac:dyDescent="0.35">
      <c r="A13">
        <v>10</v>
      </c>
      <c r="B13" t="s">
        <v>24</v>
      </c>
      <c r="C13" s="3">
        <v>45939</v>
      </c>
      <c r="D13" t="s">
        <v>16</v>
      </c>
      <c r="E13" s="6">
        <v>62</v>
      </c>
      <c r="F13" s="7">
        <v>395.53</v>
      </c>
      <c r="G13" s="7">
        <v>4924.33</v>
      </c>
      <c r="H13" t="s">
        <v>13</v>
      </c>
      <c r="I13" t="s">
        <v>318</v>
      </c>
      <c r="J13" s="6">
        <f t="shared" si="0"/>
        <v>2025</v>
      </c>
      <c r="K13" t="str">
        <f t="shared" si="1"/>
        <v>Oct-2025</v>
      </c>
      <c r="L13" t="str">
        <f t="shared" si="2"/>
        <v>Senior (60+)</v>
      </c>
      <c r="M13" s="8">
        <f t="shared" si="3"/>
        <v>12.45</v>
      </c>
      <c r="N13" t="str">
        <f t="shared" si="4"/>
        <v>Needs Review</v>
      </c>
      <c r="O13" t="str">
        <f t="shared" si="5"/>
        <v>POL</v>
      </c>
      <c r="P13" t="str">
        <f t="shared" si="6"/>
        <v>PROPERTY</v>
      </c>
      <c r="Q13">
        <f t="shared" ca="1" si="7"/>
        <v>234</v>
      </c>
    </row>
    <row r="14" spans="1:17" ht="15" customHeight="1" x14ac:dyDescent="0.35">
      <c r="A14">
        <v>11</v>
      </c>
      <c r="B14" t="s">
        <v>25</v>
      </c>
      <c r="C14" s="3">
        <v>45843</v>
      </c>
      <c r="D14" t="s">
        <v>19</v>
      </c>
      <c r="E14" s="6">
        <v>74</v>
      </c>
      <c r="F14" s="7">
        <v>351.89</v>
      </c>
      <c r="G14" s="7">
        <v>0</v>
      </c>
      <c r="H14" t="s">
        <v>10</v>
      </c>
      <c r="I14" t="s">
        <v>318</v>
      </c>
      <c r="J14" s="6">
        <f t="shared" si="0"/>
        <v>2025</v>
      </c>
      <c r="K14" t="str">
        <f t="shared" si="1"/>
        <v>Jul-2025</v>
      </c>
      <c r="L14" t="str">
        <f t="shared" si="2"/>
        <v>Senior (60+)</v>
      </c>
      <c r="M14" s="8">
        <f t="shared" si="3"/>
        <v>0</v>
      </c>
      <c r="N14" t="str">
        <f t="shared" si="4"/>
        <v>Normal</v>
      </c>
      <c r="O14" t="str">
        <f t="shared" si="5"/>
        <v>POL</v>
      </c>
      <c r="P14" t="str">
        <f t="shared" si="6"/>
        <v>HEALTH</v>
      </c>
      <c r="Q14">
        <f t="shared" ca="1" si="7"/>
        <v>302</v>
      </c>
    </row>
    <row r="15" spans="1:17" ht="15" customHeight="1" x14ac:dyDescent="0.35">
      <c r="A15">
        <v>12</v>
      </c>
      <c r="B15" t="s">
        <v>26</v>
      </c>
      <c r="C15" s="3">
        <v>45860</v>
      </c>
      <c r="D15" t="s">
        <v>16</v>
      </c>
      <c r="E15" s="6">
        <v>70</v>
      </c>
      <c r="F15" s="7">
        <v>565.55999999999995</v>
      </c>
      <c r="G15" s="7">
        <v>0</v>
      </c>
      <c r="H15" t="s">
        <v>10</v>
      </c>
      <c r="I15" t="s">
        <v>318</v>
      </c>
      <c r="J15" s="6">
        <f t="shared" si="0"/>
        <v>2025</v>
      </c>
      <c r="K15" t="str">
        <f t="shared" si="1"/>
        <v>Jul-2025</v>
      </c>
      <c r="L15" t="str">
        <f t="shared" si="2"/>
        <v>Senior (60+)</v>
      </c>
      <c r="M15" s="8">
        <f t="shared" si="3"/>
        <v>0</v>
      </c>
      <c r="N15" t="str">
        <f t="shared" si="4"/>
        <v>Normal</v>
      </c>
      <c r="O15" t="str">
        <f t="shared" si="5"/>
        <v>POL</v>
      </c>
      <c r="P15" t="str">
        <f t="shared" si="6"/>
        <v>PROPERTY</v>
      </c>
      <c r="Q15">
        <f t="shared" ca="1" si="7"/>
        <v>291</v>
      </c>
    </row>
    <row r="16" spans="1:17" ht="15" customHeight="1" x14ac:dyDescent="0.35">
      <c r="A16">
        <v>13</v>
      </c>
      <c r="B16" t="s">
        <v>27</v>
      </c>
      <c r="C16" s="3">
        <v>45672</v>
      </c>
      <c r="D16" t="s">
        <v>19</v>
      </c>
      <c r="E16" s="6">
        <v>72</v>
      </c>
      <c r="F16" s="7">
        <v>299.62</v>
      </c>
      <c r="G16" s="7">
        <v>0</v>
      </c>
      <c r="H16" t="s">
        <v>10</v>
      </c>
      <c r="I16" t="s">
        <v>318</v>
      </c>
      <c r="J16" s="6">
        <f t="shared" si="0"/>
        <v>2025</v>
      </c>
      <c r="K16" t="str">
        <f t="shared" si="1"/>
        <v>Jan-2025</v>
      </c>
      <c r="L16" t="str">
        <f t="shared" si="2"/>
        <v>Senior (60+)</v>
      </c>
      <c r="M16" s="8">
        <f t="shared" si="3"/>
        <v>0</v>
      </c>
      <c r="N16" t="str">
        <f t="shared" si="4"/>
        <v>Normal</v>
      </c>
      <c r="O16" t="str">
        <f t="shared" si="5"/>
        <v>POL</v>
      </c>
      <c r="P16" t="str">
        <f t="shared" si="6"/>
        <v>HEALTH</v>
      </c>
      <c r="Q16">
        <f t="shared" ca="1" si="7"/>
        <v>425</v>
      </c>
    </row>
    <row r="17" spans="1:17" ht="15" customHeight="1" x14ac:dyDescent="0.35">
      <c r="A17">
        <v>14</v>
      </c>
      <c r="B17" t="s">
        <v>28</v>
      </c>
      <c r="C17" s="3">
        <v>46030</v>
      </c>
      <c r="D17" t="s">
        <v>16</v>
      </c>
      <c r="E17" s="6">
        <v>35</v>
      </c>
      <c r="F17" s="7">
        <v>489.34</v>
      </c>
      <c r="G17" s="7">
        <v>0</v>
      </c>
      <c r="H17" t="s">
        <v>10</v>
      </c>
      <c r="I17" t="s">
        <v>318</v>
      </c>
      <c r="J17" s="6">
        <f t="shared" si="0"/>
        <v>2026</v>
      </c>
      <c r="K17" t="str">
        <f t="shared" si="1"/>
        <v>Jan-2026</v>
      </c>
      <c r="L17" t="str">
        <f t="shared" si="2"/>
        <v>Adult (25-40)</v>
      </c>
      <c r="M17" s="8">
        <f t="shared" si="3"/>
        <v>0</v>
      </c>
      <c r="N17" t="str">
        <f t="shared" si="4"/>
        <v>Normal</v>
      </c>
      <c r="O17" t="str">
        <f t="shared" si="5"/>
        <v>POL</v>
      </c>
      <c r="P17" t="str">
        <f t="shared" si="6"/>
        <v>PROPERTY</v>
      </c>
      <c r="Q17">
        <f t="shared" ca="1" si="7"/>
        <v>169</v>
      </c>
    </row>
    <row r="18" spans="1:17" ht="15" customHeight="1" x14ac:dyDescent="0.35">
      <c r="A18">
        <v>15</v>
      </c>
      <c r="B18" t="s">
        <v>29</v>
      </c>
      <c r="C18" s="3">
        <v>45690</v>
      </c>
      <c r="D18" t="s">
        <v>9</v>
      </c>
      <c r="E18" s="6">
        <v>62</v>
      </c>
      <c r="F18" s="7">
        <v>459.88</v>
      </c>
      <c r="G18" s="7">
        <v>2930.07</v>
      </c>
      <c r="H18" t="s">
        <v>30</v>
      </c>
      <c r="I18" t="s">
        <v>317</v>
      </c>
      <c r="J18" s="6">
        <f t="shared" si="0"/>
        <v>2025</v>
      </c>
      <c r="K18" t="str">
        <f t="shared" si="1"/>
        <v>Feb-2025</v>
      </c>
      <c r="L18" t="str">
        <f t="shared" si="2"/>
        <v>Senior (60+)</v>
      </c>
      <c r="M18" s="8">
        <f t="shared" si="3"/>
        <v>6.37</v>
      </c>
      <c r="N18" t="str">
        <f t="shared" si="4"/>
        <v>Normal</v>
      </c>
      <c r="O18" t="str">
        <f t="shared" si="5"/>
        <v>POL</v>
      </c>
      <c r="P18" t="str">
        <f t="shared" si="6"/>
        <v>LIFE</v>
      </c>
      <c r="Q18">
        <f t="shared" ca="1" si="7"/>
        <v>412</v>
      </c>
    </row>
    <row r="19" spans="1:17" ht="15" customHeight="1" x14ac:dyDescent="0.35">
      <c r="A19">
        <v>16</v>
      </c>
      <c r="B19" t="s">
        <v>31</v>
      </c>
      <c r="C19" s="3">
        <v>45939</v>
      </c>
      <c r="D19" t="s">
        <v>16</v>
      </c>
      <c r="E19" s="6">
        <v>32</v>
      </c>
      <c r="F19" s="7">
        <v>457.2</v>
      </c>
      <c r="G19" s="7">
        <v>4730.21</v>
      </c>
      <c r="H19" t="s">
        <v>13</v>
      </c>
      <c r="I19" t="s">
        <v>316</v>
      </c>
      <c r="J19" s="6">
        <f t="shared" si="0"/>
        <v>2025</v>
      </c>
      <c r="K19" t="str">
        <f t="shared" si="1"/>
        <v>Oct-2025</v>
      </c>
      <c r="L19" t="str">
        <f t="shared" si="2"/>
        <v>Adult (25-40)</v>
      </c>
      <c r="M19" s="8">
        <f t="shared" si="3"/>
        <v>10.35</v>
      </c>
      <c r="N19" t="str">
        <f t="shared" si="4"/>
        <v>Needs Review</v>
      </c>
      <c r="O19" t="str">
        <f t="shared" si="5"/>
        <v>POL</v>
      </c>
      <c r="P19" t="str">
        <f t="shared" si="6"/>
        <v>PROPERTY</v>
      </c>
      <c r="Q19">
        <f t="shared" ca="1" si="7"/>
        <v>234</v>
      </c>
    </row>
    <row r="20" spans="1:17" ht="15" customHeight="1" x14ac:dyDescent="0.35">
      <c r="A20">
        <v>17</v>
      </c>
      <c r="B20" t="s">
        <v>32</v>
      </c>
      <c r="C20" s="3">
        <v>45721</v>
      </c>
      <c r="D20" t="s">
        <v>19</v>
      </c>
      <c r="E20" s="6">
        <v>26</v>
      </c>
      <c r="F20" s="7">
        <v>400.34</v>
      </c>
      <c r="G20" s="7">
        <v>3358.5</v>
      </c>
      <c r="H20" t="s">
        <v>13</v>
      </c>
      <c r="I20" t="s">
        <v>318</v>
      </c>
      <c r="J20" s="6">
        <f t="shared" si="0"/>
        <v>2025</v>
      </c>
      <c r="K20" t="str">
        <f t="shared" si="1"/>
        <v>Mar-2025</v>
      </c>
      <c r="L20" t="str">
        <f t="shared" si="2"/>
        <v>Adult (25-40)</v>
      </c>
      <c r="M20" s="8">
        <f t="shared" si="3"/>
        <v>8.39</v>
      </c>
      <c r="N20" t="str">
        <f t="shared" si="4"/>
        <v>Needs Review</v>
      </c>
      <c r="O20" t="str">
        <f t="shared" si="5"/>
        <v>POL</v>
      </c>
      <c r="P20" t="str">
        <f t="shared" si="6"/>
        <v>HEALTH</v>
      </c>
      <c r="Q20">
        <f t="shared" ca="1" si="7"/>
        <v>390</v>
      </c>
    </row>
    <row r="21" spans="1:17" ht="15" customHeight="1" x14ac:dyDescent="0.35">
      <c r="A21">
        <v>18</v>
      </c>
      <c r="B21" t="s">
        <v>33</v>
      </c>
      <c r="C21" s="3">
        <v>45730</v>
      </c>
      <c r="D21" t="s">
        <v>12</v>
      </c>
      <c r="E21" s="6">
        <v>73</v>
      </c>
      <c r="F21" s="7">
        <v>225.58</v>
      </c>
      <c r="G21" s="7">
        <v>0</v>
      </c>
      <c r="H21" t="s">
        <v>10</v>
      </c>
      <c r="I21" t="s">
        <v>318</v>
      </c>
      <c r="J21" s="6">
        <f t="shared" si="0"/>
        <v>2025</v>
      </c>
      <c r="K21" t="str">
        <f t="shared" si="1"/>
        <v>Mar-2025</v>
      </c>
      <c r="L21" t="str">
        <f t="shared" si="2"/>
        <v>Senior (60+)</v>
      </c>
      <c r="M21" s="8">
        <f t="shared" si="3"/>
        <v>0</v>
      </c>
      <c r="N21" t="str">
        <f t="shared" si="4"/>
        <v>Normal</v>
      </c>
      <c r="O21" t="str">
        <f t="shared" si="5"/>
        <v>POL</v>
      </c>
      <c r="P21" t="str">
        <f t="shared" si="6"/>
        <v>MOTOR</v>
      </c>
      <c r="Q21">
        <f t="shared" ca="1" si="7"/>
        <v>383</v>
      </c>
    </row>
    <row r="22" spans="1:17" ht="15" customHeight="1" x14ac:dyDescent="0.35">
      <c r="A22">
        <v>19</v>
      </c>
      <c r="B22" t="s">
        <v>34</v>
      </c>
      <c r="C22" s="3">
        <v>46015</v>
      </c>
      <c r="D22" t="s">
        <v>19</v>
      </c>
      <c r="E22" s="6">
        <v>71</v>
      </c>
      <c r="F22" s="7">
        <v>316.81</v>
      </c>
      <c r="G22" s="7">
        <v>665.9</v>
      </c>
      <c r="H22" t="s">
        <v>30</v>
      </c>
      <c r="I22" t="s">
        <v>318</v>
      </c>
      <c r="J22" s="6">
        <f t="shared" si="0"/>
        <v>2025</v>
      </c>
      <c r="K22" t="str">
        <f t="shared" si="1"/>
        <v>Dec-2025</v>
      </c>
      <c r="L22" t="str">
        <f t="shared" si="2"/>
        <v>Senior (60+)</v>
      </c>
      <c r="M22" s="8">
        <f t="shared" si="3"/>
        <v>2.1</v>
      </c>
      <c r="N22" t="str">
        <f t="shared" si="4"/>
        <v>Normal</v>
      </c>
      <c r="O22" t="str">
        <f t="shared" si="5"/>
        <v>POL</v>
      </c>
      <c r="P22" t="str">
        <f t="shared" si="6"/>
        <v>HEALTH</v>
      </c>
      <c r="Q22">
        <f t="shared" ca="1" si="7"/>
        <v>180</v>
      </c>
    </row>
    <row r="23" spans="1:17" ht="15" customHeight="1" x14ac:dyDescent="0.35">
      <c r="A23">
        <v>20</v>
      </c>
      <c r="B23" t="s">
        <v>35</v>
      </c>
      <c r="C23" s="3">
        <v>45719</v>
      </c>
      <c r="D23" t="s">
        <v>9</v>
      </c>
      <c r="E23" s="6">
        <v>45</v>
      </c>
      <c r="F23" s="7">
        <v>406.44</v>
      </c>
      <c r="G23" s="7">
        <v>3577.14</v>
      </c>
      <c r="H23" t="s">
        <v>17</v>
      </c>
      <c r="I23" t="s">
        <v>319</v>
      </c>
      <c r="J23" s="6">
        <f t="shared" si="0"/>
        <v>2025</v>
      </c>
      <c r="K23" t="str">
        <f t="shared" si="1"/>
        <v>Mar-2025</v>
      </c>
      <c r="L23" t="str">
        <f t="shared" si="2"/>
        <v>Mid-Age (41-60)</v>
      </c>
      <c r="M23" s="8">
        <f t="shared" si="3"/>
        <v>8.8000000000000007</v>
      </c>
      <c r="N23" t="str">
        <f t="shared" si="4"/>
        <v>High-Value Approved</v>
      </c>
      <c r="O23" t="str">
        <f t="shared" si="5"/>
        <v>POL</v>
      </c>
      <c r="P23" t="str">
        <f t="shared" si="6"/>
        <v>LIFE</v>
      </c>
      <c r="Q23">
        <f t="shared" ca="1" si="7"/>
        <v>392</v>
      </c>
    </row>
    <row r="24" spans="1:17" ht="15" customHeight="1" x14ac:dyDescent="0.35">
      <c r="A24">
        <v>21</v>
      </c>
      <c r="B24" t="s">
        <v>36</v>
      </c>
      <c r="C24" s="3">
        <v>46051</v>
      </c>
      <c r="D24" t="s">
        <v>19</v>
      </c>
      <c r="E24" s="6">
        <v>44</v>
      </c>
      <c r="F24" s="7">
        <v>387.98</v>
      </c>
      <c r="G24" s="7">
        <v>0</v>
      </c>
      <c r="H24" t="s">
        <v>10</v>
      </c>
      <c r="I24" t="s">
        <v>318</v>
      </c>
      <c r="J24" s="6">
        <f t="shared" si="0"/>
        <v>2026</v>
      </c>
      <c r="K24" t="str">
        <f t="shared" si="1"/>
        <v>Jan-2026</v>
      </c>
      <c r="L24" t="str">
        <f t="shared" si="2"/>
        <v>Mid-Age (41-60)</v>
      </c>
      <c r="M24" s="8">
        <f t="shared" si="3"/>
        <v>0</v>
      </c>
      <c r="N24" t="str">
        <f t="shared" si="4"/>
        <v>Normal</v>
      </c>
      <c r="O24" t="str">
        <f t="shared" si="5"/>
        <v>POL</v>
      </c>
      <c r="P24" t="str">
        <f t="shared" si="6"/>
        <v>HEALTH</v>
      </c>
      <c r="Q24">
        <f t="shared" ca="1" si="7"/>
        <v>154</v>
      </c>
    </row>
    <row r="25" spans="1:17" ht="15" customHeight="1" x14ac:dyDescent="0.35">
      <c r="A25">
        <v>22</v>
      </c>
      <c r="B25" t="s">
        <v>37</v>
      </c>
      <c r="C25" s="3">
        <v>45837</v>
      </c>
      <c r="D25" t="s">
        <v>19</v>
      </c>
      <c r="E25" s="6">
        <v>46</v>
      </c>
      <c r="F25" s="7">
        <v>415.77</v>
      </c>
      <c r="G25" s="7">
        <v>0</v>
      </c>
      <c r="H25" t="s">
        <v>10</v>
      </c>
      <c r="I25" t="s">
        <v>319</v>
      </c>
      <c r="J25" s="6">
        <f t="shared" si="0"/>
        <v>2025</v>
      </c>
      <c r="K25" t="str">
        <f t="shared" si="1"/>
        <v>Jun-2025</v>
      </c>
      <c r="L25" t="str">
        <f t="shared" si="2"/>
        <v>Mid-Age (41-60)</v>
      </c>
      <c r="M25" s="8">
        <f t="shared" si="3"/>
        <v>0</v>
      </c>
      <c r="N25" t="str">
        <f t="shared" si="4"/>
        <v>Normal</v>
      </c>
      <c r="O25" t="str">
        <f t="shared" si="5"/>
        <v>POL</v>
      </c>
      <c r="P25" t="str">
        <f t="shared" si="6"/>
        <v>HEALTH</v>
      </c>
      <c r="Q25">
        <f t="shared" ca="1" si="7"/>
        <v>307</v>
      </c>
    </row>
    <row r="26" spans="1:17" ht="15" customHeight="1" x14ac:dyDescent="0.35">
      <c r="A26">
        <v>23</v>
      </c>
      <c r="B26" t="s">
        <v>39</v>
      </c>
      <c r="C26" s="3">
        <v>45744</v>
      </c>
      <c r="D26" t="s">
        <v>40</v>
      </c>
      <c r="E26" s="6">
        <v>21</v>
      </c>
      <c r="F26" s="7">
        <v>106.3</v>
      </c>
      <c r="G26" s="7">
        <v>0</v>
      </c>
      <c r="H26" t="s">
        <v>10</v>
      </c>
      <c r="I26" t="s">
        <v>320</v>
      </c>
      <c r="J26" s="6">
        <f t="shared" si="0"/>
        <v>2025</v>
      </c>
      <c r="K26" t="str">
        <f t="shared" si="1"/>
        <v>Mar-2025</v>
      </c>
      <c r="L26" t="str">
        <f t="shared" si="2"/>
        <v>Young (18-24)</v>
      </c>
      <c r="M26" s="8">
        <f t="shared" si="3"/>
        <v>0</v>
      </c>
      <c r="N26" t="str">
        <f t="shared" si="4"/>
        <v>Normal</v>
      </c>
      <c r="O26" t="str">
        <f t="shared" si="5"/>
        <v>POL</v>
      </c>
      <c r="P26" t="str">
        <f t="shared" si="6"/>
        <v>TRAVEL</v>
      </c>
      <c r="Q26">
        <f t="shared" ca="1" si="7"/>
        <v>373</v>
      </c>
    </row>
    <row r="27" spans="1:17" ht="15" customHeight="1" x14ac:dyDescent="0.35">
      <c r="A27">
        <v>24</v>
      </c>
      <c r="B27" t="s">
        <v>41</v>
      </c>
      <c r="C27" s="3">
        <v>46023</v>
      </c>
      <c r="D27" t="s">
        <v>19</v>
      </c>
      <c r="E27" s="6">
        <v>46</v>
      </c>
      <c r="F27" s="7">
        <v>295.77999999999997</v>
      </c>
      <c r="G27" s="7">
        <v>0</v>
      </c>
      <c r="H27" t="s">
        <v>10</v>
      </c>
      <c r="I27" t="s">
        <v>319</v>
      </c>
      <c r="J27" s="6">
        <f t="shared" si="0"/>
        <v>2026</v>
      </c>
      <c r="K27" t="str">
        <f t="shared" si="1"/>
        <v>Jan-2026</v>
      </c>
      <c r="L27" t="str">
        <f t="shared" si="2"/>
        <v>Mid-Age (41-60)</v>
      </c>
      <c r="M27" s="8">
        <f t="shared" si="3"/>
        <v>0</v>
      </c>
      <c r="N27" t="str">
        <f t="shared" si="4"/>
        <v>Normal</v>
      </c>
      <c r="O27" t="str">
        <f t="shared" si="5"/>
        <v>POL</v>
      </c>
      <c r="P27" t="str">
        <f t="shared" si="6"/>
        <v>HEALTH</v>
      </c>
      <c r="Q27">
        <f t="shared" ca="1" si="7"/>
        <v>174</v>
      </c>
    </row>
    <row r="28" spans="1:17" ht="15" customHeight="1" x14ac:dyDescent="0.35">
      <c r="A28">
        <v>25</v>
      </c>
      <c r="B28" t="s">
        <v>42</v>
      </c>
      <c r="C28" s="3">
        <v>45939</v>
      </c>
      <c r="D28" t="s">
        <v>16</v>
      </c>
      <c r="E28" s="6">
        <v>78</v>
      </c>
      <c r="F28" s="7">
        <v>544.99</v>
      </c>
      <c r="G28" s="7">
        <v>4764.9799999999996</v>
      </c>
      <c r="H28" t="s">
        <v>17</v>
      </c>
      <c r="I28" t="s">
        <v>316</v>
      </c>
      <c r="J28" s="6">
        <f t="shared" si="0"/>
        <v>2025</v>
      </c>
      <c r="K28" t="str">
        <f t="shared" si="1"/>
        <v>Oct-2025</v>
      </c>
      <c r="L28" t="str">
        <f t="shared" si="2"/>
        <v>Senior (60+)</v>
      </c>
      <c r="M28" s="8">
        <f t="shared" si="3"/>
        <v>8.74</v>
      </c>
      <c r="N28" t="str">
        <f t="shared" si="4"/>
        <v>High-Value Approved</v>
      </c>
      <c r="O28" t="str">
        <f t="shared" si="5"/>
        <v>POL</v>
      </c>
      <c r="P28" t="str">
        <f t="shared" si="6"/>
        <v>PROPERTY</v>
      </c>
      <c r="Q28">
        <f t="shared" ca="1" si="7"/>
        <v>234</v>
      </c>
    </row>
    <row r="29" spans="1:17" ht="15" customHeight="1" x14ac:dyDescent="0.35">
      <c r="A29">
        <v>26</v>
      </c>
      <c r="B29" t="s">
        <v>43</v>
      </c>
      <c r="C29" s="3">
        <v>45779</v>
      </c>
      <c r="D29" t="s">
        <v>9</v>
      </c>
      <c r="E29" s="6">
        <v>26</v>
      </c>
      <c r="F29" s="7">
        <v>520.04</v>
      </c>
      <c r="G29" s="7">
        <v>0</v>
      </c>
      <c r="H29" t="s">
        <v>10</v>
      </c>
      <c r="I29" t="s">
        <v>318</v>
      </c>
      <c r="J29" s="6">
        <f t="shared" si="0"/>
        <v>2025</v>
      </c>
      <c r="K29" t="str">
        <f t="shared" si="1"/>
        <v>May-2025</v>
      </c>
      <c r="L29" t="str">
        <f t="shared" si="2"/>
        <v>Adult (25-40)</v>
      </c>
      <c r="M29" s="8">
        <f t="shared" si="3"/>
        <v>0</v>
      </c>
      <c r="N29" t="str">
        <f t="shared" si="4"/>
        <v>Normal</v>
      </c>
      <c r="O29" t="str">
        <f t="shared" si="5"/>
        <v>POL</v>
      </c>
      <c r="P29" t="str">
        <f t="shared" si="6"/>
        <v>LIFE</v>
      </c>
      <c r="Q29">
        <f t="shared" ca="1" si="7"/>
        <v>348</v>
      </c>
    </row>
    <row r="30" spans="1:17" ht="15" customHeight="1" x14ac:dyDescent="0.35">
      <c r="A30">
        <v>27</v>
      </c>
      <c r="B30" t="s">
        <v>44</v>
      </c>
      <c r="C30" s="3">
        <v>46163</v>
      </c>
      <c r="D30" t="s">
        <v>16</v>
      </c>
      <c r="E30" s="6">
        <v>32</v>
      </c>
      <c r="F30" s="7">
        <v>474.45</v>
      </c>
      <c r="G30" s="7">
        <v>0</v>
      </c>
      <c r="H30" t="s">
        <v>10</v>
      </c>
      <c r="I30" t="s">
        <v>318</v>
      </c>
      <c r="J30" s="6">
        <f t="shared" si="0"/>
        <v>2026</v>
      </c>
      <c r="K30" t="str">
        <f t="shared" si="1"/>
        <v>May-2026</v>
      </c>
      <c r="L30" t="str">
        <f t="shared" si="2"/>
        <v>Adult (25-40)</v>
      </c>
      <c r="M30" s="8">
        <f t="shared" si="3"/>
        <v>0</v>
      </c>
      <c r="N30" t="str">
        <f t="shared" si="4"/>
        <v>Normal</v>
      </c>
      <c r="O30" t="str">
        <f t="shared" si="5"/>
        <v>POL</v>
      </c>
      <c r="P30" t="str">
        <f t="shared" si="6"/>
        <v>PROPERTY</v>
      </c>
      <c r="Q30">
        <f t="shared" ca="1" si="7"/>
        <v>74</v>
      </c>
    </row>
    <row r="31" spans="1:17" ht="15" customHeight="1" x14ac:dyDescent="0.35">
      <c r="A31">
        <v>28</v>
      </c>
      <c r="B31" t="s">
        <v>45</v>
      </c>
      <c r="C31" s="3">
        <v>46181</v>
      </c>
      <c r="D31" t="s">
        <v>9</v>
      </c>
      <c r="E31" s="6">
        <v>30</v>
      </c>
      <c r="F31" s="7">
        <v>330.06</v>
      </c>
      <c r="G31" s="7">
        <v>4200.25</v>
      </c>
      <c r="H31" t="s">
        <v>30</v>
      </c>
      <c r="I31" t="s">
        <v>318</v>
      </c>
      <c r="J31" s="6">
        <f t="shared" si="0"/>
        <v>2026</v>
      </c>
      <c r="K31" t="str">
        <f t="shared" si="1"/>
        <v>Jun-2026</v>
      </c>
      <c r="L31" t="str">
        <f t="shared" si="2"/>
        <v>Adult (25-40)</v>
      </c>
      <c r="M31" s="8">
        <f t="shared" si="3"/>
        <v>12.73</v>
      </c>
      <c r="N31" t="str">
        <f t="shared" si="4"/>
        <v>Normal</v>
      </c>
      <c r="O31" t="str">
        <f t="shared" si="5"/>
        <v>POL</v>
      </c>
      <c r="P31" t="str">
        <f t="shared" si="6"/>
        <v>LIFE</v>
      </c>
      <c r="Q31">
        <f t="shared" ca="1" si="7"/>
        <v>62</v>
      </c>
    </row>
    <row r="32" spans="1:17" ht="15" customHeight="1" x14ac:dyDescent="0.35">
      <c r="A32">
        <v>29</v>
      </c>
      <c r="B32" t="s">
        <v>46</v>
      </c>
      <c r="C32" s="3">
        <v>45669</v>
      </c>
      <c r="D32" t="s">
        <v>12</v>
      </c>
      <c r="E32" s="6">
        <v>35</v>
      </c>
      <c r="F32" s="7">
        <v>349.9</v>
      </c>
      <c r="G32" s="7">
        <v>2428.09</v>
      </c>
      <c r="H32" t="s">
        <v>30</v>
      </c>
      <c r="I32" t="s">
        <v>318</v>
      </c>
      <c r="J32" s="6">
        <f t="shared" si="0"/>
        <v>2025</v>
      </c>
      <c r="K32" t="str">
        <f t="shared" si="1"/>
        <v>Jan-2025</v>
      </c>
      <c r="L32" t="str">
        <f t="shared" si="2"/>
        <v>Adult (25-40)</v>
      </c>
      <c r="M32" s="8">
        <f t="shared" si="3"/>
        <v>6.94</v>
      </c>
      <c r="N32" t="str">
        <f t="shared" si="4"/>
        <v>Normal</v>
      </c>
      <c r="O32" t="str">
        <f t="shared" si="5"/>
        <v>POL</v>
      </c>
      <c r="P32" t="str">
        <f t="shared" si="6"/>
        <v>MOTOR</v>
      </c>
      <c r="Q32">
        <f t="shared" ca="1" si="7"/>
        <v>427</v>
      </c>
    </row>
    <row r="33" spans="1:17" ht="15" customHeight="1" x14ac:dyDescent="0.35">
      <c r="A33">
        <v>30</v>
      </c>
      <c r="B33" t="s">
        <v>47</v>
      </c>
      <c r="C33" s="3">
        <v>46213</v>
      </c>
      <c r="D33" t="s">
        <v>19</v>
      </c>
      <c r="E33" s="6">
        <v>32</v>
      </c>
      <c r="F33" s="7">
        <v>406.97</v>
      </c>
      <c r="G33" s="7">
        <v>2363.8200000000002</v>
      </c>
      <c r="H33" t="s">
        <v>17</v>
      </c>
      <c r="I33" t="s">
        <v>318</v>
      </c>
      <c r="J33" s="6">
        <f t="shared" si="0"/>
        <v>2026</v>
      </c>
      <c r="K33" t="str">
        <f t="shared" si="1"/>
        <v>Jul-2026</v>
      </c>
      <c r="L33" t="str">
        <f t="shared" si="2"/>
        <v>Adult (25-40)</v>
      </c>
      <c r="M33" s="8">
        <f t="shared" si="3"/>
        <v>5.81</v>
      </c>
      <c r="N33" t="str">
        <f t="shared" si="4"/>
        <v>Normal</v>
      </c>
      <c r="O33" t="str">
        <f t="shared" si="5"/>
        <v>POL</v>
      </c>
      <c r="P33" t="str">
        <f t="shared" si="6"/>
        <v>HEALTH</v>
      </c>
      <c r="Q33">
        <f t="shared" ca="1" si="7"/>
        <v>38</v>
      </c>
    </row>
    <row r="34" spans="1:17" ht="15" customHeight="1" x14ac:dyDescent="0.35">
      <c r="A34">
        <v>31</v>
      </c>
      <c r="B34" t="s">
        <v>48</v>
      </c>
      <c r="C34" s="3">
        <v>45775</v>
      </c>
      <c r="D34" t="s">
        <v>9</v>
      </c>
      <c r="E34" s="6">
        <v>79</v>
      </c>
      <c r="F34" s="7">
        <v>443.35</v>
      </c>
      <c r="G34" s="7">
        <v>2545.8200000000002</v>
      </c>
      <c r="H34" t="s">
        <v>30</v>
      </c>
      <c r="I34" t="s">
        <v>318</v>
      </c>
      <c r="J34" s="6">
        <f t="shared" si="0"/>
        <v>2025</v>
      </c>
      <c r="K34" t="str">
        <f t="shared" si="1"/>
        <v>Apr-2025</v>
      </c>
      <c r="L34" t="str">
        <f t="shared" si="2"/>
        <v>Senior (60+)</v>
      </c>
      <c r="M34" s="8">
        <f t="shared" si="3"/>
        <v>5.74</v>
      </c>
      <c r="N34" t="str">
        <f t="shared" si="4"/>
        <v>Normal</v>
      </c>
      <c r="O34" t="str">
        <f t="shared" si="5"/>
        <v>POL</v>
      </c>
      <c r="P34" t="str">
        <f t="shared" si="6"/>
        <v>LIFE</v>
      </c>
      <c r="Q34">
        <f t="shared" ca="1" si="7"/>
        <v>352</v>
      </c>
    </row>
    <row r="35" spans="1:17" ht="15" customHeight="1" x14ac:dyDescent="0.35">
      <c r="A35">
        <v>32</v>
      </c>
      <c r="B35" t="s">
        <v>49</v>
      </c>
      <c r="C35" s="3">
        <v>46081</v>
      </c>
      <c r="D35" t="s">
        <v>9</v>
      </c>
      <c r="E35" s="6">
        <v>64</v>
      </c>
      <c r="F35" s="7">
        <v>368.33</v>
      </c>
      <c r="G35" s="7">
        <v>3048.84</v>
      </c>
      <c r="H35" t="s">
        <v>17</v>
      </c>
      <c r="I35" t="s">
        <v>318</v>
      </c>
      <c r="J35" s="6">
        <f t="shared" si="0"/>
        <v>2026</v>
      </c>
      <c r="K35" t="str">
        <f t="shared" si="1"/>
        <v>Feb-2026</v>
      </c>
      <c r="L35" t="str">
        <f t="shared" si="2"/>
        <v>Senior (60+)</v>
      </c>
      <c r="M35" s="8">
        <f t="shared" si="3"/>
        <v>8.2799999999999994</v>
      </c>
      <c r="N35" t="str">
        <f t="shared" si="4"/>
        <v>High-Value Approved</v>
      </c>
      <c r="O35" t="str">
        <f t="shared" si="5"/>
        <v>POL</v>
      </c>
      <c r="P35" t="str">
        <f t="shared" si="6"/>
        <v>LIFE</v>
      </c>
      <c r="Q35">
        <f t="shared" ca="1" si="7"/>
        <v>132</v>
      </c>
    </row>
    <row r="36" spans="1:17" ht="15" customHeight="1" x14ac:dyDescent="0.35">
      <c r="A36">
        <v>33</v>
      </c>
      <c r="B36" t="s">
        <v>50</v>
      </c>
      <c r="C36" s="3">
        <v>45688</v>
      </c>
      <c r="D36" t="s">
        <v>9</v>
      </c>
      <c r="E36" s="6">
        <v>51</v>
      </c>
      <c r="F36" s="7">
        <v>426.82</v>
      </c>
      <c r="G36" s="7">
        <v>0</v>
      </c>
      <c r="H36" t="s">
        <v>10</v>
      </c>
      <c r="I36" t="s">
        <v>318</v>
      </c>
      <c r="J36" s="6">
        <f t="shared" si="0"/>
        <v>2025</v>
      </c>
      <c r="K36" t="str">
        <f t="shared" si="1"/>
        <v>Jan-2025</v>
      </c>
      <c r="L36" t="str">
        <f t="shared" si="2"/>
        <v>Mid-Age (41-60)</v>
      </c>
      <c r="M36" s="8">
        <f t="shared" si="3"/>
        <v>0</v>
      </c>
      <c r="N36" t="str">
        <f t="shared" si="4"/>
        <v>Normal</v>
      </c>
      <c r="O36" t="str">
        <f t="shared" si="5"/>
        <v>POL</v>
      </c>
      <c r="P36" t="str">
        <f t="shared" si="6"/>
        <v>LIFE</v>
      </c>
      <c r="Q36">
        <f t="shared" ca="1" si="7"/>
        <v>413</v>
      </c>
    </row>
    <row r="37" spans="1:17" ht="15" customHeight="1" x14ac:dyDescent="0.35">
      <c r="A37">
        <v>34</v>
      </c>
      <c r="B37" t="s">
        <v>51</v>
      </c>
      <c r="C37" s="3">
        <v>45853</v>
      </c>
      <c r="D37" t="s">
        <v>12</v>
      </c>
      <c r="E37" s="6">
        <v>49</v>
      </c>
      <c r="F37" s="7">
        <v>315.51</v>
      </c>
      <c r="G37" s="7">
        <v>0</v>
      </c>
      <c r="H37" t="s">
        <v>10</v>
      </c>
      <c r="I37" t="s">
        <v>318</v>
      </c>
      <c r="J37" s="6">
        <f t="shared" si="0"/>
        <v>2025</v>
      </c>
      <c r="K37" t="str">
        <f t="shared" si="1"/>
        <v>Jul-2025</v>
      </c>
      <c r="L37" t="str">
        <f t="shared" si="2"/>
        <v>Mid-Age (41-60)</v>
      </c>
      <c r="M37" s="8">
        <f t="shared" si="3"/>
        <v>0</v>
      </c>
      <c r="N37" t="str">
        <f t="shared" si="4"/>
        <v>Normal</v>
      </c>
      <c r="O37" t="str">
        <f t="shared" si="5"/>
        <v>POL</v>
      </c>
      <c r="P37" t="str">
        <f t="shared" si="6"/>
        <v>MOTOR</v>
      </c>
      <c r="Q37">
        <f t="shared" ca="1" si="7"/>
        <v>296</v>
      </c>
    </row>
    <row r="38" spans="1:17" ht="15" customHeight="1" x14ac:dyDescent="0.35">
      <c r="A38">
        <v>35</v>
      </c>
      <c r="B38" t="s">
        <v>52</v>
      </c>
      <c r="C38" s="3">
        <v>45964</v>
      </c>
      <c r="D38" t="s">
        <v>12</v>
      </c>
      <c r="E38" s="6">
        <v>45</v>
      </c>
      <c r="F38" s="7">
        <v>281.16000000000003</v>
      </c>
      <c r="G38" s="7">
        <v>1217.3900000000001</v>
      </c>
      <c r="H38" t="s">
        <v>13</v>
      </c>
      <c r="I38" t="s">
        <v>318</v>
      </c>
      <c r="J38" s="6">
        <f t="shared" si="0"/>
        <v>2025</v>
      </c>
      <c r="K38" t="str">
        <f t="shared" si="1"/>
        <v>Nov-2025</v>
      </c>
      <c r="L38" t="str">
        <f t="shared" si="2"/>
        <v>Mid-Age (41-60)</v>
      </c>
      <c r="M38" s="8">
        <f t="shared" si="3"/>
        <v>4.33</v>
      </c>
      <c r="N38" t="str">
        <f t="shared" si="4"/>
        <v>Needs Review</v>
      </c>
      <c r="O38" t="str">
        <f t="shared" si="5"/>
        <v>POL</v>
      </c>
      <c r="P38" t="str">
        <f t="shared" si="6"/>
        <v>MOTOR</v>
      </c>
      <c r="Q38">
        <f t="shared" ca="1" si="7"/>
        <v>217</v>
      </c>
    </row>
    <row r="39" spans="1:17" ht="15" customHeight="1" x14ac:dyDescent="0.35">
      <c r="A39">
        <v>36</v>
      </c>
      <c r="B39" t="s">
        <v>53</v>
      </c>
      <c r="C39" s="3">
        <v>45981</v>
      </c>
      <c r="D39" t="s">
        <v>9</v>
      </c>
      <c r="E39" s="6">
        <v>75</v>
      </c>
      <c r="F39" s="7">
        <v>405.17</v>
      </c>
      <c r="G39" s="7">
        <v>2930.07</v>
      </c>
      <c r="H39" t="s">
        <v>17</v>
      </c>
      <c r="I39" t="s">
        <v>317</v>
      </c>
      <c r="J39" s="6">
        <f t="shared" si="0"/>
        <v>2025</v>
      </c>
      <c r="K39" t="str">
        <f t="shared" si="1"/>
        <v>Nov-2025</v>
      </c>
      <c r="L39" t="str">
        <f t="shared" si="2"/>
        <v>Senior (60+)</v>
      </c>
      <c r="M39" s="8">
        <f t="shared" si="3"/>
        <v>7.23</v>
      </c>
      <c r="N39" t="str">
        <f t="shared" si="4"/>
        <v>Normal</v>
      </c>
      <c r="O39" t="str">
        <f t="shared" si="5"/>
        <v>POL</v>
      </c>
      <c r="P39" t="str">
        <f t="shared" si="6"/>
        <v>LIFE</v>
      </c>
      <c r="Q39">
        <f t="shared" ca="1" si="7"/>
        <v>204</v>
      </c>
    </row>
    <row r="40" spans="1:17" ht="15" customHeight="1" x14ac:dyDescent="0.35">
      <c r="A40">
        <v>37</v>
      </c>
      <c r="B40" t="s">
        <v>54</v>
      </c>
      <c r="C40" s="3">
        <v>46084</v>
      </c>
      <c r="D40" t="s">
        <v>19</v>
      </c>
      <c r="E40" s="6">
        <v>65</v>
      </c>
      <c r="F40" s="7">
        <v>261.13</v>
      </c>
      <c r="G40" s="7">
        <v>0</v>
      </c>
      <c r="H40" t="s">
        <v>38</v>
      </c>
      <c r="I40" t="s">
        <v>321</v>
      </c>
      <c r="J40" s="6">
        <f t="shared" si="0"/>
        <v>2026</v>
      </c>
      <c r="K40" t="str">
        <f t="shared" si="1"/>
        <v>Mar-2026</v>
      </c>
      <c r="L40" t="str">
        <f t="shared" si="2"/>
        <v>Senior (60+)</v>
      </c>
      <c r="M40" s="8">
        <f t="shared" si="3"/>
        <v>0</v>
      </c>
      <c r="N40" t="str">
        <f t="shared" si="4"/>
        <v>Needs Review</v>
      </c>
      <c r="O40" t="str">
        <f t="shared" si="5"/>
        <v>POL</v>
      </c>
      <c r="P40" t="str">
        <f t="shared" si="6"/>
        <v>HEALTH</v>
      </c>
      <c r="Q40">
        <f t="shared" ca="1" si="7"/>
        <v>131</v>
      </c>
    </row>
    <row r="41" spans="1:17" ht="15" customHeight="1" x14ac:dyDescent="0.35">
      <c r="A41">
        <v>38</v>
      </c>
      <c r="B41" t="s">
        <v>55</v>
      </c>
      <c r="C41" s="3">
        <v>45815</v>
      </c>
      <c r="D41" t="s">
        <v>12</v>
      </c>
      <c r="E41" s="6">
        <v>70</v>
      </c>
      <c r="F41" s="7">
        <v>311.04000000000002</v>
      </c>
      <c r="G41" s="7">
        <v>1604.63</v>
      </c>
      <c r="H41" t="s">
        <v>17</v>
      </c>
      <c r="I41" t="s">
        <v>318</v>
      </c>
      <c r="J41" s="6">
        <f t="shared" si="0"/>
        <v>2025</v>
      </c>
      <c r="K41" t="str">
        <f t="shared" si="1"/>
        <v>Jun-2025</v>
      </c>
      <c r="L41" t="str">
        <f t="shared" si="2"/>
        <v>Senior (60+)</v>
      </c>
      <c r="M41" s="8">
        <f t="shared" si="3"/>
        <v>5.16</v>
      </c>
      <c r="N41" t="str">
        <f t="shared" si="4"/>
        <v>Normal</v>
      </c>
      <c r="O41" t="str">
        <f t="shared" si="5"/>
        <v>POL</v>
      </c>
      <c r="P41" t="str">
        <f t="shared" si="6"/>
        <v>MOTOR</v>
      </c>
      <c r="Q41">
        <f t="shared" ca="1" si="7"/>
        <v>322</v>
      </c>
    </row>
    <row r="42" spans="1:17" ht="15" customHeight="1" x14ac:dyDescent="0.35">
      <c r="A42">
        <v>39</v>
      </c>
      <c r="B42" t="s">
        <v>56</v>
      </c>
      <c r="C42" s="3">
        <v>45696</v>
      </c>
      <c r="D42" t="s">
        <v>12</v>
      </c>
      <c r="E42" s="6">
        <v>43</v>
      </c>
      <c r="F42" s="7">
        <v>303.7</v>
      </c>
      <c r="G42" s="7">
        <v>0</v>
      </c>
      <c r="H42" t="s">
        <v>10</v>
      </c>
      <c r="I42" t="s">
        <v>318</v>
      </c>
      <c r="J42" s="6">
        <f t="shared" si="0"/>
        <v>2025</v>
      </c>
      <c r="K42" t="str">
        <f t="shared" si="1"/>
        <v>Feb-2025</v>
      </c>
      <c r="L42" t="str">
        <f t="shared" si="2"/>
        <v>Mid-Age (41-60)</v>
      </c>
      <c r="M42" s="8">
        <f t="shared" si="3"/>
        <v>0</v>
      </c>
      <c r="N42" t="str">
        <f t="shared" si="4"/>
        <v>Normal</v>
      </c>
      <c r="O42" t="str">
        <f t="shared" si="5"/>
        <v>POL</v>
      </c>
      <c r="P42" t="str">
        <f t="shared" si="6"/>
        <v>MOTOR</v>
      </c>
      <c r="Q42">
        <f t="shared" ca="1" si="7"/>
        <v>407</v>
      </c>
    </row>
    <row r="43" spans="1:17" ht="15" customHeight="1" x14ac:dyDescent="0.35">
      <c r="A43">
        <v>40</v>
      </c>
      <c r="B43" t="s">
        <v>57</v>
      </c>
      <c r="C43" s="3">
        <v>45978</v>
      </c>
      <c r="D43" t="s">
        <v>9</v>
      </c>
      <c r="E43" s="6">
        <v>66</v>
      </c>
      <c r="F43" s="7">
        <v>311.29000000000002</v>
      </c>
      <c r="G43" s="7">
        <v>4518.0200000000004</v>
      </c>
      <c r="H43" t="s">
        <v>17</v>
      </c>
      <c r="I43" t="s">
        <v>318</v>
      </c>
      <c r="J43" s="6">
        <f t="shared" si="0"/>
        <v>2025</v>
      </c>
      <c r="K43" t="str">
        <f t="shared" si="1"/>
        <v>Nov-2025</v>
      </c>
      <c r="L43" t="str">
        <f t="shared" si="2"/>
        <v>Senior (60+)</v>
      </c>
      <c r="M43" s="8">
        <f t="shared" si="3"/>
        <v>14.51</v>
      </c>
      <c r="N43" t="str">
        <f t="shared" si="4"/>
        <v>High-Value Approved</v>
      </c>
      <c r="O43" t="str">
        <f t="shared" si="5"/>
        <v>POL</v>
      </c>
      <c r="P43" t="str">
        <f t="shared" si="6"/>
        <v>LIFE</v>
      </c>
      <c r="Q43">
        <f t="shared" ca="1" si="7"/>
        <v>207</v>
      </c>
    </row>
    <row r="44" spans="1:17" ht="15" customHeight="1" x14ac:dyDescent="0.35">
      <c r="A44">
        <v>41</v>
      </c>
      <c r="B44" t="s">
        <v>60</v>
      </c>
      <c r="C44" s="3">
        <v>46220</v>
      </c>
      <c r="D44" t="s">
        <v>40</v>
      </c>
      <c r="E44" s="6">
        <v>54</v>
      </c>
      <c r="F44" s="7">
        <v>124.69</v>
      </c>
      <c r="G44" s="7">
        <v>0</v>
      </c>
      <c r="H44" t="s">
        <v>10</v>
      </c>
      <c r="I44" t="s">
        <v>318</v>
      </c>
      <c r="J44" s="6">
        <f t="shared" si="0"/>
        <v>2026</v>
      </c>
      <c r="K44" t="str">
        <f t="shared" si="1"/>
        <v>Jul-2026</v>
      </c>
      <c r="L44" t="str">
        <f t="shared" si="2"/>
        <v>Mid-Age (41-60)</v>
      </c>
      <c r="M44" s="8">
        <f t="shared" si="3"/>
        <v>0</v>
      </c>
      <c r="N44" t="str">
        <f t="shared" si="4"/>
        <v>Normal</v>
      </c>
      <c r="O44" t="str">
        <f t="shared" si="5"/>
        <v>POL</v>
      </c>
      <c r="P44" t="str">
        <f t="shared" si="6"/>
        <v>TRAVEL</v>
      </c>
      <c r="Q44">
        <f t="shared" ca="1" si="7"/>
        <v>33</v>
      </c>
    </row>
    <row r="45" spans="1:17" ht="15" customHeight="1" x14ac:dyDescent="0.35">
      <c r="A45">
        <v>42</v>
      </c>
      <c r="B45" t="s">
        <v>61</v>
      </c>
      <c r="C45" s="3">
        <v>46142</v>
      </c>
      <c r="D45" t="s">
        <v>12</v>
      </c>
      <c r="E45" s="6">
        <v>26</v>
      </c>
      <c r="F45" s="7">
        <v>318.95999999999998</v>
      </c>
      <c r="G45" s="7">
        <v>1183.3499999999999</v>
      </c>
      <c r="H45" t="s">
        <v>17</v>
      </c>
      <c r="I45" t="s">
        <v>318</v>
      </c>
      <c r="J45" s="6">
        <f t="shared" si="0"/>
        <v>2026</v>
      </c>
      <c r="K45" t="str">
        <f t="shared" si="1"/>
        <v>Apr-2026</v>
      </c>
      <c r="L45" t="str">
        <f t="shared" si="2"/>
        <v>Adult (25-40)</v>
      </c>
      <c r="M45" s="8">
        <f t="shared" si="3"/>
        <v>3.71</v>
      </c>
      <c r="N45" t="str">
        <f t="shared" si="4"/>
        <v>Normal</v>
      </c>
      <c r="O45" t="str">
        <f t="shared" si="5"/>
        <v>POL</v>
      </c>
      <c r="P45" t="str">
        <f t="shared" si="6"/>
        <v>MOTOR</v>
      </c>
      <c r="Q45">
        <f t="shared" ca="1" si="7"/>
        <v>89</v>
      </c>
    </row>
    <row r="46" spans="1:17" ht="15" customHeight="1" x14ac:dyDescent="0.35">
      <c r="A46">
        <v>43</v>
      </c>
      <c r="B46" t="s">
        <v>62</v>
      </c>
      <c r="C46" s="3">
        <v>45722</v>
      </c>
      <c r="D46" t="s">
        <v>12</v>
      </c>
      <c r="E46" s="6">
        <v>64</v>
      </c>
      <c r="F46" s="7">
        <v>219.5</v>
      </c>
      <c r="G46" s="7">
        <v>2386.9</v>
      </c>
      <c r="H46" t="s">
        <v>13</v>
      </c>
      <c r="I46" t="s">
        <v>318</v>
      </c>
      <c r="J46" s="6">
        <f t="shared" si="0"/>
        <v>2025</v>
      </c>
      <c r="K46" t="str">
        <f t="shared" si="1"/>
        <v>Mar-2025</v>
      </c>
      <c r="L46" t="str">
        <f t="shared" si="2"/>
        <v>Senior (60+)</v>
      </c>
      <c r="M46" s="8">
        <f t="shared" si="3"/>
        <v>10.87</v>
      </c>
      <c r="N46" t="str">
        <f t="shared" si="4"/>
        <v>Needs Review</v>
      </c>
      <c r="O46" t="str">
        <f t="shared" si="5"/>
        <v>POL</v>
      </c>
      <c r="P46" t="str">
        <f t="shared" si="6"/>
        <v>MOTOR</v>
      </c>
      <c r="Q46">
        <f t="shared" ca="1" si="7"/>
        <v>389</v>
      </c>
    </row>
    <row r="47" spans="1:17" ht="15" customHeight="1" x14ac:dyDescent="0.35">
      <c r="A47">
        <v>44</v>
      </c>
      <c r="B47" t="s">
        <v>63</v>
      </c>
      <c r="C47" s="3">
        <v>45947</v>
      </c>
      <c r="D47" t="s">
        <v>19</v>
      </c>
      <c r="E47" s="6">
        <v>63</v>
      </c>
      <c r="F47" s="7">
        <v>341.88</v>
      </c>
      <c r="G47" s="7">
        <v>1208.42</v>
      </c>
      <c r="H47" t="s">
        <v>13</v>
      </c>
      <c r="I47" t="s">
        <v>320</v>
      </c>
      <c r="J47" s="6">
        <f t="shared" si="0"/>
        <v>2025</v>
      </c>
      <c r="K47" t="str">
        <f t="shared" si="1"/>
        <v>Oct-2025</v>
      </c>
      <c r="L47" t="str">
        <f t="shared" si="2"/>
        <v>Senior (60+)</v>
      </c>
      <c r="M47" s="8">
        <f t="shared" si="3"/>
        <v>3.53</v>
      </c>
      <c r="N47" t="str">
        <f t="shared" si="4"/>
        <v>Needs Review</v>
      </c>
      <c r="O47" t="str">
        <f t="shared" si="5"/>
        <v>POL</v>
      </c>
      <c r="P47" t="str">
        <f t="shared" si="6"/>
        <v>HEALTH</v>
      </c>
      <c r="Q47">
        <f t="shared" ca="1" si="7"/>
        <v>228</v>
      </c>
    </row>
    <row r="48" spans="1:17" ht="15" customHeight="1" x14ac:dyDescent="0.35">
      <c r="A48">
        <v>45</v>
      </c>
      <c r="B48" t="s">
        <v>64</v>
      </c>
      <c r="C48" s="3">
        <v>45866</v>
      </c>
      <c r="D48" t="s">
        <v>16</v>
      </c>
      <c r="E48" s="6">
        <v>43</v>
      </c>
      <c r="F48" s="7">
        <v>367.06</v>
      </c>
      <c r="G48" s="7">
        <v>2244.89</v>
      </c>
      <c r="H48" t="s">
        <v>30</v>
      </c>
      <c r="I48" t="s">
        <v>318</v>
      </c>
      <c r="J48" s="6">
        <f t="shared" si="0"/>
        <v>2025</v>
      </c>
      <c r="K48" t="str">
        <f t="shared" si="1"/>
        <v>Jul-2025</v>
      </c>
      <c r="L48" t="str">
        <f t="shared" si="2"/>
        <v>Mid-Age (41-60)</v>
      </c>
      <c r="M48" s="8">
        <f t="shared" si="3"/>
        <v>6.12</v>
      </c>
      <c r="N48" t="str">
        <f t="shared" si="4"/>
        <v>Normal</v>
      </c>
      <c r="O48" t="str">
        <f t="shared" si="5"/>
        <v>POL</v>
      </c>
      <c r="P48" t="str">
        <f t="shared" si="6"/>
        <v>PROPERTY</v>
      </c>
      <c r="Q48">
        <f t="shared" ca="1" si="7"/>
        <v>287</v>
      </c>
    </row>
    <row r="49" spans="1:17" ht="15" customHeight="1" x14ac:dyDescent="0.35">
      <c r="A49">
        <v>46</v>
      </c>
      <c r="B49" t="s">
        <v>65</v>
      </c>
      <c r="C49" s="3">
        <v>45815</v>
      </c>
      <c r="D49" t="s">
        <v>12</v>
      </c>
      <c r="E49" s="6">
        <v>47</v>
      </c>
      <c r="F49" s="7">
        <v>279.19</v>
      </c>
      <c r="G49" s="7">
        <v>0</v>
      </c>
      <c r="H49" t="s">
        <v>10</v>
      </c>
      <c r="I49" t="s">
        <v>319</v>
      </c>
      <c r="J49" s="6">
        <f t="shared" si="0"/>
        <v>2025</v>
      </c>
      <c r="K49" t="str">
        <f t="shared" si="1"/>
        <v>Jun-2025</v>
      </c>
      <c r="L49" t="str">
        <f t="shared" si="2"/>
        <v>Mid-Age (41-60)</v>
      </c>
      <c r="M49" s="8">
        <f t="shared" si="3"/>
        <v>0</v>
      </c>
      <c r="N49" t="str">
        <f t="shared" si="4"/>
        <v>Normal</v>
      </c>
      <c r="O49" t="str">
        <f t="shared" si="5"/>
        <v>POL</v>
      </c>
      <c r="P49" t="str">
        <f t="shared" si="6"/>
        <v>MOTOR</v>
      </c>
      <c r="Q49">
        <f t="shared" ca="1" si="7"/>
        <v>322</v>
      </c>
    </row>
    <row r="50" spans="1:17" ht="15" customHeight="1" x14ac:dyDescent="0.35">
      <c r="A50">
        <v>47</v>
      </c>
      <c r="B50" t="s">
        <v>66</v>
      </c>
      <c r="C50" s="3">
        <v>46183</v>
      </c>
      <c r="D50" t="s">
        <v>9</v>
      </c>
      <c r="E50" s="6">
        <v>73</v>
      </c>
      <c r="F50" s="7">
        <v>521.42999999999995</v>
      </c>
      <c r="G50" s="7">
        <v>0</v>
      </c>
      <c r="H50" t="s">
        <v>10</v>
      </c>
      <c r="I50" t="s">
        <v>318</v>
      </c>
      <c r="J50" s="6">
        <f t="shared" si="0"/>
        <v>2026</v>
      </c>
      <c r="K50" t="str">
        <f t="shared" si="1"/>
        <v>Jun-2026</v>
      </c>
      <c r="L50" t="str">
        <f t="shared" si="2"/>
        <v>Senior (60+)</v>
      </c>
      <c r="M50" s="8">
        <f t="shared" si="3"/>
        <v>0</v>
      </c>
      <c r="N50" t="str">
        <f t="shared" si="4"/>
        <v>Normal</v>
      </c>
      <c r="O50" t="str">
        <f t="shared" si="5"/>
        <v>POL</v>
      </c>
      <c r="P50" t="str">
        <f t="shared" si="6"/>
        <v>LIFE</v>
      </c>
      <c r="Q50">
        <f t="shared" ca="1" si="7"/>
        <v>60</v>
      </c>
    </row>
    <row r="51" spans="1:17" ht="15" customHeight="1" x14ac:dyDescent="0.35">
      <c r="A51">
        <v>48</v>
      </c>
      <c r="B51" t="s">
        <v>67</v>
      </c>
      <c r="C51" s="3">
        <v>46179</v>
      </c>
      <c r="D51" t="s">
        <v>12</v>
      </c>
      <c r="E51" s="6">
        <v>38</v>
      </c>
      <c r="F51" s="7">
        <v>316.89999999999998</v>
      </c>
      <c r="G51" s="7">
        <v>2895.16</v>
      </c>
      <c r="H51" t="s">
        <v>30</v>
      </c>
      <c r="I51" t="s">
        <v>318</v>
      </c>
      <c r="J51" s="6">
        <f t="shared" si="0"/>
        <v>2026</v>
      </c>
      <c r="K51" t="str">
        <f t="shared" si="1"/>
        <v>Jun-2026</v>
      </c>
      <c r="L51" t="str">
        <f t="shared" si="2"/>
        <v>Adult (25-40)</v>
      </c>
      <c r="M51" s="8">
        <f t="shared" si="3"/>
        <v>9.14</v>
      </c>
      <c r="N51" t="str">
        <f t="shared" si="4"/>
        <v>Normal</v>
      </c>
      <c r="O51" t="str">
        <f t="shared" si="5"/>
        <v>POL</v>
      </c>
      <c r="P51" t="str">
        <f t="shared" si="6"/>
        <v>MOTOR</v>
      </c>
      <c r="Q51">
        <f t="shared" ca="1" si="7"/>
        <v>62</v>
      </c>
    </row>
    <row r="52" spans="1:17" ht="15" customHeight="1" x14ac:dyDescent="0.35">
      <c r="A52">
        <v>49</v>
      </c>
      <c r="B52" t="s">
        <v>68</v>
      </c>
      <c r="C52" s="3">
        <v>45963</v>
      </c>
      <c r="D52" t="s">
        <v>40</v>
      </c>
      <c r="E52" s="6">
        <v>47</v>
      </c>
      <c r="F52" s="7">
        <v>86.6</v>
      </c>
      <c r="G52" s="7">
        <v>0</v>
      </c>
      <c r="H52" t="s">
        <v>10</v>
      </c>
      <c r="I52" t="s">
        <v>318</v>
      </c>
      <c r="J52" s="6">
        <f t="shared" si="0"/>
        <v>2025</v>
      </c>
      <c r="K52" t="str">
        <f t="shared" si="1"/>
        <v>Nov-2025</v>
      </c>
      <c r="L52" t="str">
        <f t="shared" si="2"/>
        <v>Mid-Age (41-60)</v>
      </c>
      <c r="M52" s="8">
        <f t="shared" si="3"/>
        <v>0</v>
      </c>
      <c r="N52" t="str">
        <f t="shared" si="4"/>
        <v>Normal</v>
      </c>
      <c r="O52" t="str">
        <f t="shared" si="5"/>
        <v>POL</v>
      </c>
      <c r="P52" t="str">
        <f t="shared" si="6"/>
        <v>TRAVEL</v>
      </c>
      <c r="Q52">
        <f t="shared" ca="1" si="7"/>
        <v>217</v>
      </c>
    </row>
    <row r="53" spans="1:17" ht="15" customHeight="1" x14ac:dyDescent="0.35">
      <c r="A53">
        <v>50</v>
      </c>
      <c r="B53" t="s">
        <v>69</v>
      </c>
      <c r="C53" s="3">
        <v>45782</v>
      </c>
      <c r="D53" t="s">
        <v>12</v>
      </c>
      <c r="E53" s="6">
        <v>32</v>
      </c>
      <c r="F53" s="7">
        <v>216.38</v>
      </c>
      <c r="G53" s="7">
        <v>0</v>
      </c>
      <c r="H53" t="s">
        <v>10</v>
      </c>
      <c r="I53" t="s">
        <v>318</v>
      </c>
      <c r="J53" s="6">
        <f t="shared" si="0"/>
        <v>2025</v>
      </c>
      <c r="K53" t="str">
        <f t="shared" si="1"/>
        <v>May-2025</v>
      </c>
      <c r="L53" t="str">
        <f t="shared" si="2"/>
        <v>Adult (25-40)</v>
      </c>
      <c r="M53" s="8">
        <f t="shared" si="3"/>
        <v>0</v>
      </c>
      <c r="N53" t="str">
        <f t="shared" si="4"/>
        <v>Normal</v>
      </c>
      <c r="O53" t="str">
        <f t="shared" si="5"/>
        <v>POL</v>
      </c>
      <c r="P53" t="str">
        <f t="shared" si="6"/>
        <v>MOTOR</v>
      </c>
      <c r="Q53">
        <f t="shared" ca="1" si="7"/>
        <v>347</v>
      </c>
    </row>
    <row r="54" spans="1:17" ht="15" customHeight="1" x14ac:dyDescent="0.35">
      <c r="A54">
        <v>51</v>
      </c>
      <c r="B54" t="s">
        <v>70</v>
      </c>
      <c r="C54" s="3">
        <v>45858</v>
      </c>
      <c r="D54" t="s">
        <v>12</v>
      </c>
      <c r="E54" s="6">
        <v>50</v>
      </c>
      <c r="F54" s="7">
        <v>268.77999999999997</v>
      </c>
      <c r="G54" s="7">
        <v>1721</v>
      </c>
      <c r="H54" t="s">
        <v>13</v>
      </c>
      <c r="I54" t="s">
        <v>318</v>
      </c>
      <c r="J54" s="6">
        <f t="shared" si="0"/>
        <v>2025</v>
      </c>
      <c r="K54" t="str">
        <f t="shared" si="1"/>
        <v>Jul-2025</v>
      </c>
      <c r="L54" t="str">
        <f t="shared" si="2"/>
        <v>Mid-Age (41-60)</v>
      </c>
      <c r="M54" s="8">
        <f t="shared" si="3"/>
        <v>6.4</v>
      </c>
      <c r="N54" t="str">
        <f t="shared" si="4"/>
        <v>Needs Review</v>
      </c>
      <c r="O54" t="str">
        <f t="shared" si="5"/>
        <v>POL</v>
      </c>
      <c r="P54" t="str">
        <f t="shared" si="6"/>
        <v>MOTOR</v>
      </c>
      <c r="Q54">
        <f t="shared" ca="1" si="7"/>
        <v>292</v>
      </c>
    </row>
    <row r="55" spans="1:17" ht="15" customHeight="1" x14ac:dyDescent="0.35">
      <c r="A55">
        <v>52</v>
      </c>
      <c r="B55" t="s">
        <v>71</v>
      </c>
      <c r="C55" s="3">
        <v>46219</v>
      </c>
      <c r="D55" t="s">
        <v>19</v>
      </c>
      <c r="E55" s="6">
        <v>36</v>
      </c>
      <c r="F55" s="7">
        <v>381.59</v>
      </c>
      <c r="G55" s="7">
        <v>0</v>
      </c>
      <c r="H55" t="s">
        <v>10</v>
      </c>
      <c r="I55" t="s">
        <v>318</v>
      </c>
      <c r="J55" s="6">
        <f t="shared" si="0"/>
        <v>2026</v>
      </c>
      <c r="K55" t="str">
        <f t="shared" si="1"/>
        <v>Jul-2026</v>
      </c>
      <c r="L55" t="str">
        <f t="shared" si="2"/>
        <v>Adult (25-40)</v>
      </c>
      <c r="M55" s="8">
        <f t="shared" si="3"/>
        <v>0</v>
      </c>
      <c r="N55" t="str">
        <f t="shared" si="4"/>
        <v>Normal</v>
      </c>
      <c r="O55" t="str">
        <f t="shared" si="5"/>
        <v>POL</v>
      </c>
      <c r="P55" t="str">
        <f t="shared" si="6"/>
        <v>HEALTH</v>
      </c>
      <c r="Q55">
        <f t="shared" ca="1" si="7"/>
        <v>34</v>
      </c>
    </row>
    <row r="56" spans="1:17" ht="15" customHeight="1" x14ac:dyDescent="0.35">
      <c r="A56">
        <v>53</v>
      </c>
      <c r="B56" t="s">
        <v>72</v>
      </c>
      <c r="C56" s="3">
        <v>45854</v>
      </c>
      <c r="D56" t="s">
        <v>19</v>
      </c>
      <c r="E56" s="6">
        <v>40</v>
      </c>
      <c r="F56" s="7">
        <v>341.88</v>
      </c>
      <c r="G56" s="7">
        <v>3273.23</v>
      </c>
      <c r="H56" t="s">
        <v>17</v>
      </c>
      <c r="I56" t="s">
        <v>320</v>
      </c>
      <c r="J56" s="6">
        <f t="shared" si="0"/>
        <v>2025</v>
      </c>
      <c r="K56" t="str">
        <f t="shared" si="1"/>
        <v>Jul-2025</v>
      </c>
      <c r="L56" t="str">
        <f t="shared" si="2"/>
        <v>Adult (25-40)</v>
      </c>
      <c r="M56" s="8">
        <f t="shared" si="3"/>
        <v>9.57</v>
      </c>
      <c r="N56" t="str">
        <f t="shared" si="4"/>
        <v>High-Value Approved</v>
      </c>
      <c r="O56" t="str">
        <f t="shared" si="5"/>
        <v>POL</v>
      </c>
      <c r="P56" t="str">
        <f t="shared" si="6"/>
        <v>HEALTH</v>
      </c>
      <c r="Q56">
        <f t="shared" ca="1" si="7"/>
        <v>295</v>
      </c>
    </row>
    <row r="57" spans="1:17" ht="15" customHeight="1" x14ac:dyDescent="0.35">
      <c r="A57">
        <v>54</v>
      </c>
      <c r="B57" t="s">
        <v>73</v>
      </c>
      <c r="C57" s="3">
        <v>45837</v>
      </c>
      <c r="D57" t="s">
        <v>19</v>
      </c>
      <c r="E57" s="6">
        <v>24</v>
      </c>
      <c r="F57" s="7">
        <v>319.16000000000003</v>
      </c>
      <c r="G57" s="7">
        <v>0</v>
      </c>
      <c r="H57" t="s">
        <v>10</v>
      </c>
      <c r="I57" t="s">
        <v>322</v>
      </c>
      <c r="J57" s="6">
        <f t="shared" si="0"/>
        <v>2025</v>
      </c>
      <c r="K57" t="str">
        <f t="shared" si="1"/>
        <v>Jun-2025</v>
      </c>
      <c r="L57" t="str">
        <f t="shared" si="2"/>
        <v>Young (18-24)</v>
      </c>
      <c r="M57" s="8">
        <f t="shared" si="3"/>
        <v>0</v>
      </c>
      <c r="N57" t="str">
        <f t="shared" si="4"/>
        <v>Normal</v>
      </c>
      <c r="O57" t="str">
        <f t="shared" si="5"/>
        <v>POL</v>
      </c>
      <c r="P57" t="str">
        <f t="shared" si="6"/>
        <v>HEALTH</v>
      </c>
      <c r="Q57">
        <f t="shared" ca="1" si="7"/>
        <v>307</v>
      </c>
    </row>
    <row r="58" spans="1:17" ht="15" customHeight="1" x14ac:dyDescent="0.35">
      <c r="A58">
        <v>55</v>
      </c>
      <c r="B58" t="s">
        <v>74</v>
      </c>
      <c r="C58" s="3">
        <v>46169</v>
      </c>
      <c r="D58" t="s">
        <v>16</v>
      </c>
      <c r="E58" s="6">
        <v>68</v>
      </c>
      <c r="F58" s="7">
        <v>389.3</v>
      </c>
      <c r="G58" s="7">
        <v>3463.86</v>
      </c>
      <c r="H58" t="s">
        <v>13</v>
      </c>
      <c r="I58" t="s">
        <v>318</v>
      </c>
      <c r="J58" s="6">
        <f t="shared" si="0"/>
        <v>2026</v>
      </c>
      <c r="K58" t="str">
        <f t="shared" si="1"/>
        <v>May-2026</v>
      </c>
      <c r="L58" t="str">
        <f t="shared" si="2"/>
        <v>Senior (60+)</v>
      </c>
      <c r="M58" s="8">
        <f t="shared" si="3"/>
        <v>8.9</v>
      </c>
      <c r="N58" t="str">
        <f t="shared" si="4"/>
        <v>Needs Review</v>
      </c>
      <c r="O58" t="str">
        <f t="shared" si="5"/>
        <v>POL</v>
      </c>
      <c r="P58" t="str">
        <f t="shared" si="6"/>
        <v>PROPERTY</v>
      </c>
      <c r="Q58">
        <f t="shared" ca="1" si="7"/>
        <v>70</v>
      </c>
    </row>
    <row r="59" spans="1:17" ht="15" customHeight="1" x14ac:dyDescent="0.35">
      <c r="A59">
        <v>56</v>
      </c>
      <c r="B59" t="s">
        <v>75</v>
      </c>
      <c r="C59" s="3">
        <v>45800</v>
      </c>
      <c r="D59" t="s">
        <v>9</v>
      </c>
      <c r="E59" s="6">
        <v>31</v>
      </c>
      <c r="F59" s="7">
        <v>478.58</v>
      </c>
      <c r="G59" s="7">
        <v>0</v>
      </c>
      <c r="H59" t="s">
        <v>10</v>
      </c>
      <c r="I59" t="s">
        <v>318</v>
      </c>
      <c r="J59" s="6">
        <f t="shared" si="0"/>
        <v>2025</v>
      </c>
      <c r="K59" t="str">
        <f t="shared" si="1"/>
        <v>May-2025</v>
      </c>
      <c r="L59" t="str">
        <f t="shared" si="2"/>
        <v>Adult (25-40)</v>
      </c>
      <c r="M59" s="8">
        <f t="shared" si="3"/>
        <v>0</v>
      </c>
      <c r="N59" t="str">
        <f t="shared" si="4"/>
        <v>Normal</v>
      </c>
      <c r="O59" t="str">
        <f t="shared" si="5"/>
        <v>POL</v>
      </c>
      <c r="P59" t="str">
        <f t="shared" si="6"/>
        <v>LIFE</v>
      </c>
      <c r="Q59">
        <f t="shared" ca="1" si="7"/>
        <v>333</v>
      </c>
    </row>
    <row r="60" spans="1:17" ht="15" customHeight="1" x14ac:dyDescent="0.35">
      <c r="A60">
        <v>57</v>
      </c>
      <c r="B60" t="s">
        <v>76</v>
      </c>
      <c r="C60" s="3">
        <v>46009</v>
      </c>
      <c r="D60" t="s">
        <v>19</v>
      </c>
      <c r="E60" s="6">
        <v>43</v>
      </c>
      <c r="F60" s="7">
        <v>328.07</v>
      </c>
      <c r="G60" s="7">
        <v>2881.08</v>
      </c>
      <c r="H60" t="s">
        <v>17</v>
      </c>
      <c r="I60" t="s">
        <v>318</v>
      </c>
      <c r="J60" s="6">
        <f t="shared" si="0"/>
        <v>2025</v>
      </c>
      <c r="K60" t="str">
        <f t="shared" si="1"/>
        <v>Dec-2025</v>
      </c>
      <c r="L60" t="str">
        <f t="shared" si="2"/>
        <v>Mid-Age (41-60)</v>
      </c>
      <c r="M60" s="8">
        <f t="shared" si="3"/>
        <v>8.7799999999999994</v>
      </c>
      <c r="N60" t="str">
        <f t="shared" si="4"/>
        <v>Normal</v>
      </c>
      <c r="O60" t="str">
        <f t="shared" si="5"/>
        <v>POL</v>
      </c>
      <c r="P60" t="str">
        <f t="shared" si="6"/>
        <v>HEALTH</v>
      </c>
      <c r="Q60">
        <f t="shared" ca="1" si="7"/>
        <v>184</v>
      </c>
    </row>
    <row r="61" spans="1:17" ht="15" customHeight="1" x14ac:dyDescent="0.35">
      <c r="A61">
        <v>58</v>
      </c>
      <c r="B61" t="s">
        <v>77</v>
      </c>
      <c r="C61" s="3">
        <v>45924</v>
      </c>
      <c r="D61" t="s">
        <v>19</v>
      </c>
      <c r="E61" s="6">
        <v>48</v>
      </c>
      <c r="F61" s="7">
        <v>378.18</v>
      </c>
      <c r="G61" s="7">
        <v>1792.67</v>
      </c>
      <c r="H61" t="s">
        <v>17</v>
      </c>
      <c r="I61" t="s">
        <v>318</v>
      </c>
      <c r="J61" s="6">
        <f t="shared" si="0"/>
        <v>2025</v>
      </c>
      <c r="K61" t="str">
        <f t="shared" si="1"/>
        <v>Sep-2025</v>
      </c>
      <c r="L61" t="str">
        <f t="shared" si="2"/>
        <v>Mid-Age (41-60)</v>
      </c>
      <c r="M61" s="8">
        <f t="shared" si="3"/>
        <v>4.74</v>
      </c>
      <c r="N61" t="str">
        <f t="shared" si="4"/>
        <v>Normal</v>
      </c>
      <c r="O61" t="str">
        <f t="shared" si="5"/>
        <v>POL</v>
      </c>
      <c r="P61" t="str">
        <f t="shared" si="6"/>
        <v>HEALTH</v>
      </c>
      <c r="Q61">
        <f t="shared" ca="1" si="7"/>
        <v>245</v>
      </c>
    </row>
    <row r="62" spans="1:17" ht="15" customHeight="1" x14ac:dyDescent="0.35">
      <c r="A62">
        <v>59</v>
      </c>
      <c r="B62" t="s">
        <v>78</v>
      </c>
      <c r="C62" s="3">
        <v>45861</v>
      </c>
      <c r="D62" t="s">
        <v>19</v>
      </c>
      <c r="E62" s="6">
        <v>28</v>
      </c>
      <c r="F62" s="7">
        <v>354.35</v>
      </c>
      <c r="G62" s="7">
        <v>847.39</v>
      </c>
      <c r="H62" t="s">
        <v>13</v>
      </c>
      <c r="I62" t="s">
        <v>318</v>
      </c>
      <c r="J62" s="6">
        <f t="shared" si="0"/>
        <v>2025</v>
      </c>
      <c r="K62" t="str">
        <f t="shared" si="1"/>
        <v>Jul-2025</v>
      </c>
      <c r="L62" t="str">
        <f t="shared" si="2"/>
        <v>Adult (25-40)</v>
      </c>
      <c r="M62" s="8">
        <f t="shared" si="3"/>
        <v>2.39</v>
      </c>
      <c r="N62" t="str">
        <f t="shared" si="4"/>
        <v>Needs Review</v>
      </c>
      <c r="O62" t="str">
        <f t="shared" si="5"/>
        <v>POL</v>
      </c>
      <c r="P62" t="str">
        <f t="shared" si="6"/>
        <v>HEALTH</v>
      </c>
      <c r="Q62">
        <f t="shared" ca="1" si="7"/>
        <v>290</v>
      </c>
    </row>
    <row r="63" spans="1:17" ht="15" customHeight="1" x14ac:dyDescent="0.35">
      <c r="A63">
        <v>60</v>
      </c>
      <c r="B63" t="s">
        <v>79</v>
      </c>
      <c r="C63" s="3">
        <v>45739</v>
      </c>
      <c r="D63" t="s">
        <v>19</v>
      </c>
      <c r="E63" s="6">
        <v>26</v>
      </c>
      <c r="F63" s="7">
        <v>281.97000000000003</v>
      </c>
      <c r="G63" s="7">
        <v>1052.21</v>
      </c>
      <c r="H63" t="s">
        <v>13</v>
      </c>
      <c r="I63" t="s">
        <v>318</v>
      </c>
      <c r="J63" s="6">
        <f t="shared" si="0"/>
        <v>2025</v>
      </c>
      <c r="K63" t="str">
        <f t="shared" si="1"/>
        <v>Mar-2025</v>
      </c>
      <c r="L63" t="str">
        <f t="shared" si="2"/>
        <v>Adult (25-40)</v>
      </c>
      <c r="M63" s="8">
        <f t="shared" si="3"/>
        <v>3.73</v>
      </c>
      <c r="N63" t="str">
        <f t="shared" si="4"/>
        <v>Needs Review</v>
      </c>
      <c r="O63" t="str">
        <f t="shared" si="5"/>
        <v>POL</v>
      </c>
      <c r="P63" t="str">
        <f t="shared" si="6"/>
        <v>HEALTH</v>
      </c>
      <c r="Q63">
        <f t="shared" ca="1" si="7"/>
        <v>377</v>
      </c>
    </row>
    <row r="64" spans="1:17" ht="15" customHeight="1" x14ac:dyDescent="0.35">
      <c r="A64">
        <v>61</v>
      </c>
      <c r="B64" t="s">
        <v>80</v>
      </c>
      <c r="C64" s="3">
        <v>46023</v>
      </c>
      <c r="D64" t="s">
        <v>19</v>
      </c>
      <c r="E64" s="6">
        <v>26</v>
      </c>
      <c r="F64" s="7">
        <v>331.25</v>
      </c>
      <c r="G64" s="7">
        <v>0</v>
      </c>
      <c r="H64" t="s">
        <v>10</v>
      </c>
      <c r="I64" t="s">
        <v>318</v>
      </c>
      <c r="J64" s="6">
        <f t="shared" si="0"/>
        <v>2026</v>
      </c>
      <c r="K64" t="str">
        <f t="shared" si="1"/>
        <v>Jan-2026</v>
      </c>
      <c r="L64" t="str">
        <f t="shared" si="2"/>
        <v>Adult (25-40)</v>
      </c>
      <c r="M64" s="8">
        <f t="shared" si="3"/>
        <v>0</v>
      </c>
      <c r="N64" t="str">
        <f t="shared" si="4"/>
        <v>Normal</v>
      </c>
      <c r="O64" t="str">
        <f t="shared" si="5"/>
        <v>POL</v>
      </c>
      <c r="P64" t="str">
        <f t="shared" si="6"/>
        <v>HEALTH</v>
      </c>
      <c r="Q64">
        <f t="shared" ca="1" si="7"/>
        <v>174</v>
      </c>
    </row>
    <row r="65" spans="1:17" ht="15" customHeight="1" x14ac:dyDescent="0.35">
      <c r="A65">
        <v>62</v>
      </c>
      <c r="B65" t="s">
        <v>81</v>
      </c>
      <c r="C65" s="3">
        <v>45847</v>
      </c>
      <c r="D65" t="s">
        <v>19</v>
      </c>
      <c r="E65" s="6">
        <v>28</v>
      </c>
      <c r="F65" s="7">
        <v>347.04</v>
      </c>
      <c r="G65" s="7">
        <v>1963.68</v>
      </c>
      <c r="H65" t="s">
        <v>17</v>
      </c>
      <c r="I65" t="s">
        <v>318</v>
      </c>
      <c r="J65" s="6">
        <f t="shared" si="0"/>
        <v>2025</v>
      </c>
      <c r="K65" t="str">
        <f t="shared" si="1"/>
        <v>Jul-2025</v>
      </c>
      <c r="L65" t="str">
        <f t="shared" si="2"/>
        <v>Adult (25-40)</v>
      </c>
      <c r="M65" s="8">
        <f t="shared" si="3"/>
        <v>5.66</v>
      </c>
      <c r="N65" t="str">
        <f t="shared" si="4"/>
        <v>Normal</v>
      </c>
      <c r="O65" t="str">
        <f t="shared" si="5"/>
        <v>POL</v>
      </c>
      <c r="P65" t="str">
        <f t="shared" si="6"/>
        <v>HEALTH</v>
      </c>
      <c r="Q65">
        <f t="shared" ca="1" si="7"/>
        <v>300</v>
      </c>
    </row>
    <row r="66" spans="1:17" ht="15" customHeight="1" x14ac:dyDescent="0.35">
      <c r="A66">
        <v>63</v>
      </c>
      <c r="B66" t="s">
        <v>82</v>
      </c>
      <c r="C66" s="3">
        <v>45707</v>
      </c>
      <c r="D66" t="s">
        <v>19</v>
      </c>
      <c r="E66" s="6">
        <v>40</v>
      </c>
      <c r="F66" s="7">
        <v>540.37</v>
      </c>
      <c r="G66" s="7">
        <v>0</v>
      </c>
      <c r="H66" t="s">
        <v>10</v>
      </c>
      <c r="I66" t="s">
        <v>322</v>
      </c>
      <c r="J66" s="6">
        <f t="shared" si="0"/>
        <v>2025</v>
      </c>
      <c r="K66" t="str">
        <f t="shared" si="1"/>
        <v>Feb-2025</v>
      </c>
      <c r="L66" t="str">
        <f t="shared" si="2"/>
        <v>Adult (25-40)</v>
      </c>
      <c r="M66" s="8">
        <f t="shared" si="3"/>
        <v>0</v>
      </c>
      <c r="N66" t="str">
        <f t="shared" si="4"/>
        <v>Normal</v>
      </c>
      <c r="O66" t="str">
        <f t="shared" si="5"/>
        <v>POL</v>
      </c>
      <c r="P66" t="str">
        <f t="shared" si="6"/>
        <v>HEALTH</v>
      </c>
      <c r="Q66">
        <f t="shared" ca="1" si="7"/>
        <v>400</v>
      </c>
    </row>
    <row r="67" spans="1:17" ht="15" customHeight="1" x14ac:dyDescent="0.35">
      <c r="A67">
        <v>64</v>
      </c>
      <c r="B67" t="s">
        <v>83</v>
      </c>
      <c r="C67" s="3">
        <v>46042</v>
      </c>
      <c r="D67" t="s">
        <v>19</v>
      </c>
      <c r="E67" s="6">
        <v>53</v>
      </c>
      <c r="F67" s="7">
        <v>272.26</v>
      </c>
      <c r="G67" s="7">
        <v>3211.55</v>
      </c>
      <c r="H67" t="s">
        <v>30</v>
      </c>
      <c r="I67" t="s">
        <v>318</v>
      </c>
      <c r="J67" s="6">
        <f t="shared" si="0"/>
        <v>2026</v>
      </c>
      <c r="K67" t="str">
        <f t="shared" si="1"/>
        <v>Jan-2026</v>
      </c>
      <c r="L67" t="str">
        <f t="shared" si="2"/>
        <v>Mid-Age (41-60)</v>
      </c>
      <c r="M67" s="8">
        <f t="shared" si="3"/>
        <v>11.8</v>
      </c>
      <c r="N67" t="str">
        <f t="shared" si="4"/>
        <v>Normal</v>
      </c>
      <c r="O67" t="str">
        <f t="shared" si="5"/>
        <v>POL</v>
      </c>
      <c r="P67" t="str">
        <f t="shared" si="6"/>
        <v>HEALTH</v>
      </c>
      <c r="Q67">
        <f t="shared" ca="1" si="7"/>
        <v>161</v>
      </c>
    </row>
    <row r="68" spans="1:17" ht="15" customHeight="1" x14ac:dyDescent="0.35">
      <c r="A68">
        <v>65</v>
      </c>
      <c r="B68" t="s">
        <v>84</v>
      </c>
      <c r="C68" s="3">
        <v>45822</v>
      </c>
      <c r="D68" t="s">
        <v>16</v>
      </c>
      <c r="E68" s="6">
        <v>66</v>
      </c>
      <c r="F68" s="7">
        <v>339.61</v>
      </c>
      <c r="G68" s="7">
        <v>0</v>
      </c>
      <c r="H68" t="s">
        <v>10</v>
      </c>
      <c r="I68" t="s">
        <v>318</v>
      </c>
      <c r="J68" s="6">
        <f t="shared" ref="J68:J131" si="8">YEAR(C68)</f>
        <v>2025</v>
      </c>
      <c r="K68" t="str">
        <f t="shared" ref="K68:K131" si="9">TEXT(C68,"mmm-yyyy")</f>
        <v>Jun-2025</v>
      </c>
      <c r="L68" t="str">
        <f t="shared" ref="L68:L131" si="10">_xlfn.IFS(E68&lt;25,"Young (18-24)",E68&lt;=40,"Adult (25-40)",E68&lt;=60,"Mid-Age (41-60)",TRUE(),"Senior (60+)")</f>
        <v>Senior (60+)</v>
      </c>
      <c r="M68" s="8">
        <f t="shared" ref="M68:M131" si="11">IF(F68=0,0,ROUND(G68/F68,2))</f>
        <v>0</v>
      </c>
      <c r="N68" t="str">
        <f t="shared" ref="N68:N131" si="12">IF(AND(G68&gt;3000,H68="Approved"),"High-Value Approved",IF(OR(H68="Pending",H68="Unknown"),"Needs Review","Normal"))</f>
        <v>Normal</v>
      </c>
      <c r="O68" t="str">
        <f t="shared" ref="O68:O131" si="13">LEFT(B68,3)</f>
        <v>POL</v>
      </c>
      <c r="P68" t="str">
        <f t="shared" ref="P68:P131" si="14">UPPER(D68)</f>
        <v>PROPERTY</v>
      </c>
      <c r="Q68">
        <f t="shared" ref="Q68:Q131" ca="1" si="15">NETWORKDAYS(C68,TODAY())</f>
        <v>317</v>
      </c>
    </row>
    <row r="69" spans="1:17" ht="15" customHeight="1" x14ac:dyDescent="0.35">
      <c r="A69">
        <v>66</v>
      </c>
      <c r="B69" t="s">
        <v>85</v>
      </c>
      <c r="C69" s="3">
        <v>46168</v>
      </c>
      <c r="D69" t="s">
        <v>12</v>
      </c>
      <c r="E69" s="6">
        <v>20</v>
      </c>
      <c r="F69" s="7">
        <v>288.16000000000003</v>
      </c>
      <c r="G69" s="7">
        <v>0</v>
      </c>
      <c r="H69" t="s">
        <v>10</v>
      </c>
      <c r="I69" t="s">
        <v>318</v>
      </c>
      <c r="J69" s="6">
        <f t="shared" si="8"/>
        <v>2026</v>
      </c>
      <c r="K69" t="str">
        <f t="shared" si="9"/>
        <v>May-2026</v>
      </c>
      <c r="L69" t="str">
        <f t="shared" si="10"/>
        <v>Young (18-24)</v>
      </c>
      <c r="M69" s="8">
        <f t="shared" si="11"/>
        <v>0</v>
      </c>
      <c r="N69" t="str">
        <f t="shared" si="12"/>
        <v>Normal</v>
      </c>
      <c r="O69" t="str">
        <f t="shared" si="13"/>
        <v>POL</v>
      </c>
      <c r="P69" t="str">
        <f t="shared" si="14"/>
        <v>MOTOR</v>
      </c>
      <c r="Q69">
        <f t="shared" ca="1" si="15"/>
        <v>71</v>
      </c>
    </row>
    <row r="70" spans="1:17" ht="15" customHeight="1" x14ac:dyDescent="0.35">
      <c r="A70">
        <v>67</v>
      </c>
      <c r="B70" t="s">
        <v>87</v>
      </c>
      <c r="C70" s="3">
        <v>46176</v>
      </c>
      <c r="D70" t="s">
        <v>19</v>
      </c>
      <c r="E70" s="6">
        <v>23</v>
      </c>
      <c r="F70" s="7">
        <v>257.3</v>
      </c>
      <c r="G70" s="7">
        <v>3790.15</v>
      </c>
      <c r="H70" t="s">
        <v>30</v>
      </c>
      <c r="I70" t="s">
        <v>318</v>
      </c>
      <c r="J70" s="6">
        <f t="shared" si="8"/>
        <v>2026</v>
      </c>
      <c r="K70" t="str">
        <f t="shared" si="9"/>
        <v>Jun-2026</v>
      </c>
      <c r="L70" t="str">
        <f t="shared" si="10"/>
        <v>Young (18-24)</v>
      </c>
      <c r="M70" s="8">
        <f t="shared" si="11"/>
        <v>14.73</v>
      </c>
      <c r="N70" t="str">
        <f t="shared" si="12"/>
        <v>Normal</v>
      </c>
      <c r="O70" t="str">
        <f t="shared" si="13"/>
        <v>POL</v>
      </c>
      <c r="P70" t="str">
        <f t="shared" si="14"/>
        <v>HEALTH</v>
      </c>
      <c r="Q70">
        <f t="shared" ca="1" si="15"/>
        <v>65</v>
      </c>
    </row>
    <row r="71" spans="1:17" ht="15" customHeight="1" x14ac:dyDescent="0.35">
      <c r="A71">
        <v>68</v>
      </c>
      <c r="B71" t="s">
        <v>88</v>
      </c>
      <c r="C71" s="3">
        <v>46188</v>
      </c>
      <c r="D71" t="s">
        <v>19</v>
      </c>
      <c r="E71" s="6">
        <v>23</v>
      </c>
      <c r="F71" s="7">
        <v>364.44</v>
      </c>
      <c r="G71" s="7">
        <v>1228.1099999999999</v>
      </c>
      <c r="H71" t="s">
        <v>30</v>
      </c>
      <c r="I71" t="s">
        <v>318</v>
      </c>
      <c r="J71" s="6">
        <f t="shared" si="8"/>
        <v>2026</v>
      </c>
      <c r="K71" t="str">
        <f t="shared" si="9"/>
        <v>Jun-2026</v>
      </c>
      <c r="L71" t="str">
        <f t="shared" si="10"/>
        <v>Young (18-24)</v>
      </c>
      <c r="M71" s="8">
        <f t="shared" si="11"/>
        <v>3.37</v>
      </c>
      <c r="N71" t="str">
        <f t="shared" si="12"/>
        <v>Normal</v>
      </c>
      <c r="O71" t="str">
        <f t="shared" si="13"/>
        <v>POL</v>
      </c>
      <c r="P71" t="str">
        <f t="shared" si="14"/>
        <v>HEALTH</v>
      </c>
      <c r="Q71">
        <f t="shared" ca="1" si="15"/>
        <v>57</v>
      </c>
    </row>
    <row r="72" spans="1:17" ht="15" customHeight="1" x14ac:dyDescent="0.35">
      <c r="A72">
        <v>69</v>
      </c>
      <c r="B72" t="s">
        <v>89</v>
      </c>
      <c r="C72" s="3">
        <v>46077</v>
      </c>
      <c r="D72" t="s">
        <v>19</v>
      </c>
      <c r="E72" s="6">
        <v>59</v>
      </c>
      <c r="F72" s="7">
        <v>328.52</v>
      </c>
      <c r="G72" s="7">
        <v>936.07</v>
      </c>
      <c r="H72" t="s">
        <v>17</v>
      </c>
      <c r="I72" t="s">
        <v>318</v>
      </c>
      <c r="J72" s="6">
        <f t="shared" si="8"/>
        <v>2026</v>
      </c>
      <c r="K72" t="str">
        <f t="shared" si="9"/>
        <v>Feb-2026</v>
      </c>
      <c r="L72" t="str">
        <f t="shared" si="10"/>
        <v>Mid-Age (41-60)</v>
      </c>
      <c r="M72" s="8">
        <f t="shared" si="11"/>
        <v>2.85</v>
      </c>
      <c r="N72" t="str">
        <f t="shared" si="12"/>
        <v>Normal</v>
      </c>
      <c r="O72" t="str">
        <f t="shared" si="13"/>
        <v>POL</v>
      </c>
      <c r="P72" t="str">
        <f t="shared" si="14"/>
        <v>HEALTH</v>
      </c>
      <c r="Q72">
        <f t="shared" ca="1" si="15"/>
        <v>136</v>
      </c>
    </row>
    <row r="73" spans="1:17" ht="15" customHeight="1" x14ac:dyDescent="0.35">
      <c r="A73">
        <v>70</v>
      </c>
      <c r="B73" t="s">
        <v>90</v>
      </c>
      <c r="C73" s="3">
        <v>45939</v>
      </c>
      <c r="D73" t="s">
        <v>9</v>
      </c>
      <c r="E73" s="6">
        <v>43</v>
      </c>
      <c r="F73" s="7">
        <v>530.28</v>
      </c>
      <c r="G73" s="7">
        <v>0</v>
      </c>
      <c r="H73" t="s">
        <v>10</v>
      </c>
      <c r="I73" t="s">
        <v>316</v>
      </c>
      <c r="J73" s="6">
        <f t="shared" si="8"/>
        <v>2025</v>
      </c>
      <c r="K73" t="str">
        <f t="shared" si="9"/>
        <v>Oct-2025</v>
      </c>
      <c r="L73" t="str">
        <f t="shared" si="10"/>
        <v>Mid-Age (41-60)</v>
      </c>
      <c r="M73" s="8">
        <f t="shared" si="11"/>
        <v>0</v>
      </c>
      <c r="N73" t="str">
        <f t="shared" si="12"/>
        <v>Normal</v>
      </c>
      <c r="O73" t="str">
        <f t="shared" si="13"/>
        <v>POL</v>
      </c>
      <c r="P73" t="str">
        <f t="shared" si="14"/>
        <v>LIFE</v>
      </c>
      <c r="Q73">
        <f t="shared" ca="1" si="15"/>
        <v>234</v>
      </c>
    </row>
    <row r="74" spans="1:17" ht="15" customHeight="1" x14ac:dyDescent="0.35">
      <c r="A74">
        <v>71</v>
      </c>
      <c r="B74" t="s">
        <v>91</v>
      </c>
      <c r="C74" s="3">
        <v>46103</v>
      </c>
      <c r="D74" t="s">
        <v>9</v>
      </c>
      <c r="E74" s="6">
        <v>40</v>
      </c>
      <c r="F74" s="7">
        <v>341.79</v>
      </c>
      <c r="G74" s="7">
        <v>2422.46</v>
      </c>
      <c r="H74" t="s">
        <v>17</v>
      </c>
      <c r="I74" t="s">
        <v>318</v>
      </c>
      <c r="J74" s="6">
        <f t="shared" si="8"/>
        <v>2026</v>
      </c>
      <c r="K74" t="str">
        <f t="shared" si="9"/>
        <v>Mar-2026</v>
      </c>
      <c r="L74" t="str">
        <f t="shared" si="10"/>
        <v>Adult (25-40)</v>
      </c>
      <c r="M74" s="8">
        <f t="shared" si="11"/>
        <v>7.09</v>
      </c>
      <c r="N74" t="str">
        <f t="shared" si="12"/>
        <v>Normal</v>
      </c>
      <c r="O74" t="str">
        <f t="shared" si="13"/>
        <v>POL</v>
      </c>
      <c r="P74" t="str">
        <f t="shared" si="14"/>
        <v>LIFE</v>
      </c>
      <c r="Q74">
        <f t="shared" ca="1" si="15"/>
        <v>117</v>
      </c>
    </row>
    <row r="75" spans="1:17" ht="15" customHeight="1" x14ac:dyDescent="0.35">
      <c r="A75">
        <v>72</v>
      </c>
      <c r="B75" t="s">
        <v>92</v>
      </c>
      <c r="C75" s="3">
        <v>46076</v>
      </c>
      <c r="D75" t="s">
        <v>12</v>
      </c>
      <c r="E75" s="6">
        <v>47</v>
      </c>
      <c r="F75" s="7">
        <v>245.28</v>
      </c>
      <c r="G75" s="7">
        <v>2676.35</v>
      </c>
      <c r="H75" t="s">
        <v>13</v>
      </c>
      <c r="I75" t="s">
        <v>319</v>
      </c>
      <c r="J75" s="6">
        <f t="shared" si="8"/>
        <v>2026</v>
      </c>
      <c r="K75" t="str">
        <f t="shared" si="9"/>
        <v>Feb-2026</v>
      </c>
      <c r="L75" t="str">
        <f t="shared" si="10"/>
        <v>Mid-Age (41-60)</v>
      </c>
      <c r="M75" s="8">
        <f t="shared" si="11"/>
        <v>10.91</v>
      </c>
      <c r="N75" t="str">
        <f t="shared" si="12"/>
        <v>Needs Review</v>
      </c>
      <c r="O75" t="str">
        <f t="shared" si="13"/>
        <v>POL</v>
      </c>
      <c r="P75" t="str">
        <f t="shared" si="14"/>
        <v>MOTOR</v>
      </c>
      <c r="Q75">
        <f t="shared" ca="1" si="15"/>
        <v>137</v>
      </c>
    </row>
    <row r="76" spans="1:17" ht="15" customHeight="1" x14ac:dyDescent="0.35">
      <c r="A76">
        <v>73</v>
      </c>
      <c r="B76" t="s">
        <v>93</v>
      </c>
      <c r="C76" s="3">
        <v>46056</v>
      </c>
      <c r="D76" t="s">
        <v>19</v>
      </c>
      <c r="E76" s="6">
        <v>24</v>
      </c>
      <c r="F76" s="7">
        <v>387.6</v>
      </c>
      <c r="G76" s="7">
        <v>0</v>
      </c>
      <c r="H76" t="s">
        <v>10</v>
      </c>
      <c r="I76" t="s">
        <v>318</v>
      </c>
      <c r="J76" s="6">
        <f t="shared" si="8"/>
        <v>2026</v>
      </c>
      <c r="K76" t="str">
        <f t="shared" si="9"/>
        <v>Feb-2026</v>
      </c>
      <c r="L76" t="str">
        <f t="shared" si="10"/>
        <v>Young (18-24)</v>
      </c>
      <c r="M76" s="8">
        <f t="shared" si="11"/>
        <v>0</v>
      </c>
      <c r="N76" t="str">
        <f t="shared" si="12"/>
        <v>Normal</v>
      </c>
      <c r="O76" t="str">
        <f t="shared" si="13"/>
        <v>POL</v>
      </c>
      <c r="P76" t="str">
        <f t="shared" si="14"/>
        <v>HEALTH</v>
      </c>
      <c r="Q76">
        <f t="shared" ca="1" si="15"/>
        <v>151</v>
      </c>
    </row>
    <row r="77" spans="1:17" ht="15" customHeight="1" x14ac:dyDescent="0.35">
      <c r="A77">
        <v>74</v>
      </c>
      <c r="B77" t="s">
        <v>94</v>
      </c>
      <c r="C77" s="3">
        <v>46081</v>
      </c>
      <c r="D77" t="s">
        <v>19</v>
      </c>
      <c r="E77" s="6">
        <v>42</v>
      </c>
      <c r="F77" s="7">
        <v>122.56</v>
      </c>
      <c r="G77" s="7">
        <v>926.1</v>
      </c>
      <c r="H77" t="s">
        <v>17</v>
      </c>
      <c r="I77" t="s">
        <v>322</v>
      </c>
      <c r="J77" s="6">
        <f t="shared" si="8"/>
        <v>2026</v>
      </c>
      <c r="K77" t="str">
        <f t="shared" si="9"/>
        <v>Feb-2026</v>
      </c>
      <c r="L77" t="str">
        <f t="shared" si="10"/>
        <v>Mid-Age (41-60)</v>
      </c>
      <c r="M77" s="8">
        <f t="shared" si="11"/>
        <v>7.56</v>
      </c>
      <c r="N77" t="str">
        <f t="shared" si="12"/>
        <v>Normal</v>
      </c>
      <c r="O77" t="str">
        <f t="shared" si="13"/>
        <v>POL</v>
      </c>
      <c r="P77" t="str">
        <f t="shared" si="14"/>
        <v>HEALTH</v>
      </c>
      <c r="Q77">
        <f t="shared" ca="1" si="15"/>
        <v>132</v>
      </c>
    </row>
    <row r="78" spans="1:17" ht="15" customHeight="1" x14ac:dyDescent="0.35">
      <c r="A78">
        <v>75</v>
      </c>
      <c r="B78" t="s">
        <v>95</v>
      </c>
      <c r="C78" s="3">
        <v>46208</v>
      </c>
      <c r="D78" t="s">
        <v>12</v>
      </c>
      <c r="E78" s="6">
        <v>57</v>
      </c>
      <c r="F78" s="7">
        <v>238.14</v>
      </c>
      <c r="G78" s="7">
        <v>1683.8</v>
      </c>
      <c r="H78" t="s">
        <v>17</v>
      </c>
      <c r="I78" t="s">
        <v>318</v>
      </c>
      <c r="J78" s="6">
        <f t="shared" si="8"/>
        <v>2026</v>
      </c>
      <c r="K78" t="str">
        <f t="shared" si="9"/>
        <v>Jul-2026</v>
      </c>
      <c r="L78" t="str">
        <f t="shared" si="10"/>
        <v>Mid-Age (41-60)</v>
      </c>
      <c r="M78" s="8">
        <f t="shared" si="11"/>
        <v>7.07</v>
      </c>
      <c r="N78" t="str">
        <f t="shared" si="12"/>
        <v>Normal</v>
      </c>
      <c r="O78" t="str">
        <f t="shared" si="13"/>
        <v>POL</v>
      </c>
      <c r="P78" t="str">
        <f t="shared" si="14"/>
        <v>MOTOR</v>
      </c>
      <c r="Q78">
        <f t="shared" ca="1" si="15"/>
        <v>42</v>
      </c>
    </row>
    <row r="79" spans="1:17" ht="15" customHeight="1" x14ac:dyDescent="0.35">
      <c r="A79">
        <v>76</v>
      </c>
      <c r="B79" t="s">
        <v>96</v>
      </c>
      <c r="C79" s="3">
        <v>45679</v>
      </c>
      <c r="D79" t="s">
        <v>19</v>
      </c>
      <c r="E79" s="6">
        <v>46</v>
      </c>
      <c r="F79" s="7">
        <v>373.85</v>
      </c>
      <c r="G79" s="7">
        <v>2753.69</v>
      </c>
      <c r="H79" t="s">
        <v>30</v>
      </c>
      <c r="I79" t="s">
        <v>318</v>
      </c>
      <c r="J79" s="6">
        <f t="shared" si="8"/>
        <v>2025</v>
      </c>
      <c r="K79" t="str">
        <f t="shared" si="9"/>
        <v>Jan-2025</v>
      </c>
      <c r="L79" t="str">
        <f t="shared" si="10"/>
        <v>Mid-Age (41-60)</v>
      </c>
      <c r="M79" s="8">
        <f t="shared" si="11"/>
        <v>7.37</v>
      </c>
      <c r="N79" t="str">
        <f t="shared" si="12"/>
        <v>Normal</v>
      </c>
      <c r="O79" t="str">
        <f t="shared" si="13"/>
        <v>POL</v>
      </c>
      <c r="P79" t="str">
        <f t="shared" si="14"/>
        <v>HEALTH</v>
      </c>
      <c r="Q79">
        <f t="shared" ca="1" si="15"/>
        <v>420</v>
      </c>
    </row>
    <row r="80" spans="1:17" ht="15" customHeight="1" x14ac:dyDescent="0.35">
      <c r="A80">
        <v>77</v>
      </c>
      <c r="B80" t="s">
        <v>97</v>
      </c>
      <c r="C80" s="3">
        <v>46028</v>
      </c>
      <c r="D80" t="s">
        <v>9</v>
      </c>
      <c r="E80" s="6">
        <v>24</v>
      </c>
      <c r="F80" s="7">
        <v>382.95</v>
      </c>
      <c r="G80" s="7">
        <v>0</v>
      </c>
      <c r="H80" t="s">
        <v>10</v>
      </c>
      <c r="I80" t="s">
        <v>318</v>
      </c>
      <c r="J80" s="6">
        <f t="shared" si="8"/>
        <v>2026</v>
      </c>
      <c r="K80" t="str">
        <f t="shared" si="9"/>
        <v>Jan-2026</v>
      </c>
      <c r="L80" t="str">
        <f t="shared" si="10"/>
        <v>Young (18-24)</v>
      </c>
      <c r="M80" s="8">
        <f t="shared" si="11"/>
        <v>0</v>
      </c>
      <c r="N80" t="str">
        <f t="shared" si="12"/>
        <v>Normal</v>
      </c>
      <c r="O80" t="str">
        <f t="shared" si="13"/>
        <v>POL</v>
      </c>
      <c r="P80" t="str">
        <f t="shared" si="14"/>
        <v>LIFE</v>
      </c>
      <c r="Q80">
        <f t="shared" ca="1" si="15"/>
        <v>171</v>
      </c>
    </row>
    <row r="81" spans="1:17" ht="15" customHeight="1" x14ac:dyDescent="0.35">
      <c r="A81">
        <v>78</v>
      </c>
      <c r="B81" t="s">
        <v>98</v>
      </c>
      <c r="C81" s="3">
        <v>46157</v>
      </c>
      <c r="D81" t="s">
        <v>19</v>
      </c>
      <c r="E81" s="6">
        <v>40</v>
      </c>
      <c r="F81" s="7">
        <v>273.89</v>
      </c>
      <c r="G81" s="7">
        <v>0</v>
      </c>
      <c r="H81" t="s">
        <v>10</v>
      </c>
      <c r="I81" t="s">
        <v>318</v>
      </c>
      <c r="J81" s="6">
        <f t="shared" si="8"/>
        <v>2026</v>
      </c>
      <c r="K81" t="str">
        <f t="shared" si="9"/>
        <v>May-2026</v>
      </c>
      <c r="L81" t="str">
        <f t="shared" si="10"/>
        <v>Adult (25-40)</v>
      </c>
      <c r="M81" s="8">
        <f t="shared" si="11"/>
        <v>0</v>
      </c>
      <c r="N81" t="str">
        <f t="shared" si="12"/>
        <v>Normal</v>
      </c>
      <c r="O81" t="str">
        <f t="shared" si="13"/>
        <v>POL</v>
      </c>
      <c r="P81" t="str">
        <f t="shared" si="14"/>
        <v>HEALTH</v>
      </c>
      <c r="Q81">
        <f t="shared" ca="1" si="15"/>
        <v>78</v>
      </c>
    </row>
    <row r="82" spans="1:17" ht="15" customHeight="1" x14ac:dyDescent="0.35">
      <c r="A82">
        <v>79</v>
      </c>
      <c r="B82" t="s">
        <v>99</v>
      </c>
      <c r="C82" s="3">
        <v>46195</v>
      </c>
      <c r="D82" t="s">
        <v>19</v>
      </c>
      <c r="E82" s="6">
        <v>18</v>
      </c>
      <c r="F82" s="7">
        <v>358.91</v>
      </c>
      <c r="G82" s="7">
        <v>0</v>
      </c>
      <c r="H82" t="s">
        <v>10</v>
      </c>
      <c r="I82" t="s">
        <v>318</v>
      </c>
      <c r="J82" s="6">
        <f t="shared" si="8"/>
        <v>2026</v>
      </c>
      <c r="K82" t="str">
        <f t="shared" si="9"/>
        <v>Jun-2026</v>
      </c>
      <c r="L82" t="str">
        <f t="shared" si="10"/>
        <v>Young (18-24)</v>
      </c>
      <c r="M82" s="8">
        <f t="shared" si="11"/>
        <v>0</v>
      </c>
      <c r="N82" t="str">
        <f t="shared" si="12"/>
        <v>Normal</v>
      </c>
      <c r="O82" t="str">
        <f t="shared" si="13"/>
        <v>POL</v>
      </c>
      <c r="P82" t="str">
        <f t="shared" si="14"/>
        <v>HEALTH</v>
      </c>
      <c r="Q82">
        <f t="shared" ca="1" si="15"/>
        <v>52</v>
      </c>
    </row>
    <row r="83" spans="1:17" ht="15" customHeight="1" x14ac:dyDescent="0.35">
      <c r="A83">
        <v>80</v>
      </c>
      <c r="B83" t="s">
        <v>100</v>
      </c>
      <c r="C83" s="3">
        <v>46185</v>
      </c>
      <c r="D83" t="s">
        <v>12</v>
      </c>
      <c r="E83" s="6">
        <v>43</v>
      </c>
      <c r="F83" s="7">
        <v>252.48</v>
      </c>
      <c r="G83" s="7">
        <v>1646.56</v>
      </c>
      <c r="H83" t="s">
        <v>13</v>
      </c>
      <c r="I83" t="s">
        <v>317</v>
      </c>
      <c r="J83" s="6">
        <f t="shared" si="8"/>
        <v>2026</v>
      </c>
      <c r="K83" t="str">
        <f t="shared" si="9"/>
        <v>Jun-2026</v>
      </c>
      <c r="L83" t="str">
        <f t="shared" si="10"/>
        <v>Mid-Age (41-60)</v>
      </c>
      <c r="M83" s="8">
        <f t="shared" si="11"/>
        <v>6.52</v>
      </c>
      <c r="N83" t="str">
        <f t="shared" si="12"/>
        <v>Needs Review</v>
      </c>
      <c r="O83" t="str">
        <f t="shared" si="13"/>
        <v>POL</v>
      </c>
      <c r="P83" t="str">
        <f t="shared" si="14"/>
        <v>MOTOR</v>
      </c>
      <c r="Q83">
        <f t="shared" ca="1" si="15"/>
        <v>58</v>
      </c>
    </row>
    <row r="84" spans="1:17" ht="15" customHeight="1" x14ac:dyDescent="0.35">
      <c r="A84">
        <v>81</v>
      </c>
      <c r="B84" t="s">
        <v>101</v>
      </c>
      <c r="C84" s="3">
        <v>46205</v>
      </c>
      <c r="D84" t="s">
        <v>9</v>
      </c>
      <c r="E84" s="6">
        <v>22</v>
      </c>
      <c r="F84" s="7">
        <v>361.98</v>
      </c>
      <c r="G84" s="7">
        <v>0</v>
      </c>
      <c r="H84" t="s">
        <v>10</v>
      </c>
      <c r="I84" t="s">
        <v>318</v>
      </c>
      <c r="J84" s="6">
        <f t="shared" si="8"/>
        <v>2026</v>
      </c>
      <c r="K84" t="str">
        <f t="shared" si="9"/>
        <v>Jul-2026</v>
      </c>
      <c r="L84" t="str">
        <f t="shared" si="10"/>
        <v>Young (18-24)</v>
      </c>
      <c r="M84" s="8">
        <f t="shared" si="11"/>
        <v>0</v>
      </c>
      <c r="N84" t="str">
        <f t="shared" si="12"/>
        <v>Normal</v>
      </c>
      <c r="O84" t="str">
        <f t="shared" si="13"/>
        <v>POL</v>
      </c>
      <c r="P84" t="str">
        <f t="shared" si="14"/>
        <v>LIFE</v>
      </c>
      <c r="Q84">
        <f t="shared" ca="1" si="15"/>
        <v>44</v>
      </c>
    </row>
    <row r="85" spans="1:17" ht="15" customHeight="1" x14ac:dyDescent="0.35">
      <c r="A85">
        <v>82</v>
      </c>
      <c r="B85" t="s">
        <v>102</v>
      </c>
      <c r="C85" s="3">
        <v>45939</v>
      </c>
      <c r="D85" t="s">
        <v>19</v>
      </c>
      <c r="E85" s="6">
        <v>40</v>
      </c>
      <c r="F85" s="7">
        <v>343.61</v>
      </c>
      <c r="G85" s="7">
        <v>1984.79</v>
      </c>
      <c r="H85" t="s">
        <v>17</v>
      </c>
      <c r="I85" t="s">
        <v>317</v>
      </c>
      <c r="J85" s="6">
        <f t="shared" si="8"/>
        <v>2025</v>
      </c>
      <c r="K85" t="str">
        <f t="shared" si="9"/>
        <v>Oct-2025</v>
      </c>
      <c r="L85" t="str">
        <f t="shared" si="10"/>
        <v>Adult (25-40)</v>
      </c>
      <c r="M85" s="8">
        <f t="shared" si="11"/>
        <v>5.78</v>
      </c>
      <c r="N85" t="str">
        <f t="shared" si="12"/>
        <v>Normal</v>
      </c>
      <c r="O85" t="str">
        <f t="shared" si="13"/>
        <v>POL</v>
      </c>
      <c r="P85" t="str">
        <f t="shared" si="14"/>
        <v>HEALTH</v>
      </c>
      <c r="Q85">
        <f t="shared" ca="1" si="15"/>
        <v>234</v>
      </c>
    </row>
    <row r="86" spans="1:17" ht="15" customHeight="1" x14ac:dyDescent="0.35">
      <c r="A86">
        <v>83</v>
      </c>
      <c r="B86" t="s">
        <v>103</v>
      </c>
      <c r="C86" s="3">
        <v>45732</v>
      </c>
      <c r="D86" t="s">
        <v>9</v>
      </c>
      <c r="E86" s="6">
        <v>77</v>
      </c>
      <c r="F86" s="7">
        <v>416.49</v>
      </c>
      <c r="G86" s="7">
        <v>0</v>
      </c>
      <c r="H86" t="s">
        <v>38</v>
      </c>
      <c r="I86" t="s">
        <v>321</v>
      </c>
      <c r="J86" s="6">
        <f t="shared" si="8"/>
        <v>2025</v>
      </c>
      <c r="K86" t="str">
        <f t="shared" si="9"/>
        <v>Mar-2025</v>
      </c>
      <c r="L86" t="str">
        <f t="shared" si="10"/>
        <v>Senior (60+)</v>
      </c>
      <c r="M86" s="8">
        <f t="shared" si="11"/>
        <v>0</v>
      </c>
      <c r="N86" t="str">
        <f t="shared" si="12"/>
        <v>Needs Review</v>
      </c>
      <c r="O86" t="str">
        <f t="shared" si="13"/>
        <v>POL</v>
      </c>
      <c r="P86" t="str">
        <f t="shared" si="14"/>
        <v>LIFE</v>
      </c>
      <c r="Q86">
        <f t="shared" ca="1" si="15"/>
        <v>382</v>
      </c>
    </row>
    <row r="87" spans="1:17" ht="15" customHeight="1" x14ac:dyDescent="0.35">
      <c r="A87">
        <v>84</v>
      </c>
      <c r="B87" t="s">
        <v>104</v>
      </c>
      <c r="C87" s="3">
        <v>45799</v>
      </c>
      <c r="D87" t="s">
        <v>9</v>
      </c>
      <c r="E87" s="6">
        <v>26</v>
      </c>
      <c r="F87" s="7">
        <v>392.31</v>
      </c>
      <c r="G87" s="7">
        <v>0</v>
      </c>
      <c r="H87" t="s">
        <v>10</v>
      </c>
      <c r="I87" t="s">
        <v>318</v>
      </c>
      <c r="J87" s="6">
        <f t="shared" si="8"/>
        <v>2025</v>
      </c>
      <c r="K87" t="str">
        <f t="shared" si="9"/>
        <v>May-2025</v>
      </c>
      <c r="L87" t="str">
        <f t="shared" si="10"/>
        <v>Adult (25-40)</v>
      </c>
      <c r="M87" s="8">
        <f t="shared" si="11"/>
        <v>0</v>
      </c>
      <c r="N87" t="str">
        <f t="shared" si="12"/>
        <v>Normal</v>
      </c>
      <c r="O87" t="str">
        <f t="shared" si="13"/>
        <v>POL</v>
      </c>
      <c r="P87" t="str">
        <f t="shared" si="14"/>
        <v>LIFE</v>
      </c>
      <c r="Q87">
        <f t="shared" ca="1" si="15"/>
        <v>334</v>
      </c>
    </row>
    <row r="88" spans="1:17" ht="15" customHeight="1" x14ac:dyDescent="0.35">
      <c r="A88">
        <v>85</v>
      </c>
      <c r="B88" t="s">
        <v>106</v>
      </c>
      <c r="C88" s="3">
        <v>45712</v>
      </c>
      <c r="D88" t="s">
        <v>12</v>
      </c>
      <c r="E88" s="6">
        <v>69</v>
      </c>
      <c r="F88" s="7">
        <v>358.44</v>
      </c>
      <c r="G88" s="7">
        <v>0</v>
      </c>
      <c r="H88" t="s">
        <v>10</v>
      </c>
      <c r="I88" t="s">
        <v>318</v>
      </c>
      <c r="J88" s="6">
        <f t="shared" si="8"/>
        <v>2025</v>
      </c>
      <c r="K88" t="str">
        <f t="shared" si="9"/>
        <v>Feb-2025</v>
      </c>
      <c r="L88" t="str">
        <f t="shared" si="10"/>
        <v>Senior (60+)</v>
      </c>
      <c r="M88" s="8">
        <f t="shared" si="11"/>
        <v>0</v>
      </c>
      <c r="N88" t="str">
        <f t="shared" si="12"/>
        <v>Normal</v>
      </c>
      <c r="O88" t="str">
        <f t="shared" si="13"/>
        <v>POL</v>
      </c>
      <c r="P88" t="str">
        <f t="shared" si="14"/>
        <v>MOTOR</v>
      </c>
      <c r="Q88">
        <f t="shared" ca="1" si="15"/>
        <v>397</v>
      </c>
    </row>
    <row r="89" spans="1:17" ht="15" customHeight="1" x14ac:dyDescent="0.35">
      <c r="A89">
        <v>86</v>
      </c>
      <c r="B89" t="s">
        <v>107</v>
      </c>
      <c r="C89" s="3">
        <v>45892</v>
      </c>
      <c r="D89" t="s">
        <v>12</v>
      </c>
      <c r="E89" s="6">
        <v>23</v>
      </c>
      <c r="F89" s="7">
        <v>349.59</v>
      </c>
      <c r="G89" s="7">
        <v>0</v>
      </c>
      <c r="H89" t="s">
        <v>10</v>
      </c>
      <c r="I89" t="s">
        <v>318</v>
      </c>
      <c r="J89" s="6">
        <f t="shared" si="8"/>
        <v>2025</v>
      </c>
      <c r="K89" t="str">
        <f t="shared" si="9"/>
        <v>Aug-2025</v>
      </c>
      <c r="L89" t="str">
        <f t="shared" si="10"/>
        <v>Young (18-24)</v>
      </c>
      <c r="M89" s="8">
        <f t="shared" si="11"/>
        <v>0</v>
      </c>
      <c r="N89" t="str">
        <f t="shared" si="12"/>
        <v>Normal</v>
      </c>
      <c r="O89" t="str">
        <f t="shared" si="13"/>
        <v>POL</v>
      </c>
      <c r="P89" t="str">
        <f t="shared" si="14"/>
        <v>MOTOR</v>
      </c>
      <c r="Q89">
        <f t="shared" ca="1" si="15"/>
        <v>267</v>
      </c>
    </row>
    <row r="90" spans="1:17" ht="15" customHeight="1" x14ac:dyDescent="0.35">
      <c r="A90">
        <v>87</v>
      </c>
      <c r="B90" t="s">
        <v>108</v>
      </c>
      <c r="C90" s="3">
        <v>46215</v>
      </c>
      <c r="D90" t="s">
        <v>19</v>
      </c>
      <c r="E90" s="6">
        <v>68</v>
      </c>
      <c r="F90" s="7">
        <v>386.7</v>
      </c>
      <c r="G90" s="7">
        <v>0</v>
      </c>
      <c r="H90" t="s">
        <v>10</v>
      </c>
      <c r="I90" t="s">
        <v>318</v>
      </c>
      <c r="J90" s="6">
        <f t="shared" si="8"/>
        <v>2026</v>
      </c>
      <c r="K90" t="str">
        <f t="shared" si="9"/>
        <v>Jul-2026</v>
      </c>
      <c r="L90" t="str">
        <f t="shared" si="10"/>
        <v>Senior (60+)</v>
      </c>
      <c r="M90" s="8">
        <f t="shared" si="11"/>
        <v>0</v>
      </c>
      <c r="N90" t="str">
        <f t="shared" si="12"/>
        <v>Normal</v>
      </c>
      <c r="O90" t="str">
        <f t="shared" si="13"/>
        <v>POL</v>
      </c>
      <c r="P90" t="str">
        <f t="shared" si="14"/>
        <v>HEALTH</v>
      </c>
      <c r="Q90">
        <f t="shared" ca="1" si="15"/>
        <v>37</v>
      </c>
    </row>
    <row r="91" spans="1:17" ht="15" customHeight="1" x14ac:dyDescent="0.35">
      <c r="A91">
        <v>88</v>
      </c>
      <c r="B91" t="s">
        <v>109</v>
      </c>
      <c r="C91" s="3">
        <v>46142</v>
      </c>
      <c r="D91" t="s">
        <v>19</v>
      </c>
      <c r="E91" s="6">
        <v>22</v>
      </c>
      <c r="F91" s="7">
        <v>256.10000000000002</v>
      </c>
      <c r="G91" s="7">
        <v>0</v>
      </c>
      <c r="H91" t="s">
        <v>10</v>
      </c>
      <c r="I91" t="s">
        <v>318</v>
      </c>
      <c r="J91" s="6">
        <f t="shared" si="8"/>
        <v>2026</v>
      </c>
      <c r="K91" t="str">
        <f t="shared" si="9"/>
        <v>Apr-2026</v>
      </c>
      <c r="L91" t="str">
        <f t="shared" si="10"/>
        <v>Young (18-24)</v>
      </c>
      <c r="M91" s="8">
        <f t="shared" si="11"/>
        <v>0</v>
      </c>
      <c r="N91" t="str">
        <f t="shared" si="12"/>
        <v>Normal</v>
      </c>
      <c r="O91" t="str">
        <f t="shared" si="13"/>
        <v>POL</v>
      </c>
      <c r="P91" t="str">
        <f t="shared" si="14"/>
        <v>HEALTH</v>
      </c>
      <c r="Q91">
        <f t="shared" ca="1" si="15"/>
        <v>89</v>
      </c>
    </row>
    <row r="92" spans="1:17" ht="15" customHeight="1" x14ac:dyDescent="0.35">
      <c r="A92">
        <v>89</v>
      </c>
      <c r="B92" t="s">
        <v>110</v>
      </c>
      <c r="C92" s="3">
        <v>45827</v>
      </c>
      <c r="D92" t="s">
        <v>16</v>
      </c>
      <c r="E92" s="6">
        <v>39</v>
      </c>
      <c r="F92" s="7">
        <v>427.93</v>
      </c>
      <c r="G92" s="7">
        <v>3110.88</v>
      </c>
      <c r="H92" t="s">
        <v>38</v>
      </c>
      <c r="I92" t="s">
        <v>321</v>
      </c>
      <c r="J92" s="6">
        <f t="shared" si="8"/>
        <v>2025</v>
      </c>
      <c r="K92" t="str">
        <f t="shared" si="9"/>
        <v>Jun-2025</v>
      </c>
      <c r="L92" t="str">
        <f t="shared" si="10"/>
        <v>Adult (25-40)</v>
      </c>
      <c r="M92" s="8">
        <f t="shared" si="11"/>
        <v>7.27</v>
      </c>
      <c r="N92" t="str">
        <f t="shared" si="12"/>
        <v>Needs Review</v>
      </c>
      <c r="O92" t="str">
        <f t="shared" si="13"/>
        <v>POL</v>
      </c>
      <c r="P92" t="str">
        <f t="shared" si="14"/>
        <v>PROPERTY</v>
      </c>
      <c r="Q92">
        <f t="shared" ca="1" si="15"/>
        <v>314</v>
      </c>
    </row>
    <row r="93" spans="1:17" ht="15" customHeight="1" x14ac:dyDescent="0.35">
      <c r="A93">
        <v>90</v>
      </c>
      <c r="B93" t="s">
        <v>111</v>
      </c>
      <c r="C93" s="3">
        <v>46136</v>
      </c>
      <c r="D93" t="s">
        <v>40</v>
      </c>
      <c r="E93" s="6">
        <v>19</v>
      </c>
      <c r="F93" s="7">
        <v>83.21</v>
      </c>
      <c r="G93" s="7">
        <v>0</v>
      </c>
      <c r="H93" t="s">
        <v>10</v>
      </c>
      <c r="I93" t="s">
        <v>318</v>
      </c>
      <c r="J93" s="6">
        <f t="shared" si="8"/>
        <v>2026</v>
      </c>
      <c r="K93" t="str">
        <f t="shared" si="9"/>
        <v>Apr-2026</v>
      </c>
      <c r="L93" t="str">
        <f t="shared" si="10"/>
        <v>Young (18-24)</v>
      </c>
      <c r="M93" s="8">
        <f t="shared" si="11"/>
        <v>0</v>
      </c>
      <c r="N93" t="str">
        <f t="shared" si="12"/>
        <v>Normal</v>
      </c>
      <c r="O93" t="str">
        <f t="shared" si="13"/>
        <v>POL</v>
      </c>
      <c r="P93" t="str">
        <f t="shared" si="14"/>
        <v>TRAVEL</v>
      </c>
      <c r="Q93">
        <f t="shared" ca="1" si="15"/>
        <v>93</v>
      </c>
    </row>
    <row r="94" spans="1:17" ht="15" customHeight="1" x14ac:dyDescent="0.35">
      <c r="A94">
        <v>91</v>
      </c>
      <c r="B94" t="s">
        <v>112</v>
      </c>
      <c r="C94" s="3">
        <v>45777</v>
      </c>
      <c r="D94" t="s">
        <v>9</v>
      </c>
      <c r="E94" s="6">
        <v>65</v>
      </c>
      <c r="F94" s="7">
        <v>413.35</v>
      </c>
      <c r="G94" s="7">
        <v>3583.53</v>
      </c>
      <c r="H94" t="s">
        <v>17</v>
      </c>
      <c r="I94" t="s">
        <v>318</v>
      </c>
      <c r="J94" s="6">
        <f t="shared" si="8"/>
        <v>2025</v>
      </c>
      <c r="K94" t="str">
        <f t="shared" si="9"/>
        <v>Apr-2025</v>
      </c>
      <c r="L94" t="str">
        <f t="shared" si="10"/>
        <v>Senior (60+)</v>
      </c>
      <c r="M94" s="8">
        <f t="shared" si="11"/>
        <v>8.67</v>
      </c>
      <c r="N94" t="str">
        <f t="shared" si="12"/>
        <v>High-Value Approved</v>
      </c>
      <c r="O94" t="str">
        <f t="shared" si="13"/>
        <v>POL</v>
      </c>
      <c r="P94" t="str">
        <f t="shared" si="14"/>
        <v>LIFE</v>
      </c>
      <c r="Q94">
        <f t="shared" ca="1" si="15"/>
        <v>350</v>
      </c>
    </row>
    <row r="95" spans="1:17" ht="15" customHeight="1" x14ac:dyDescent="0.35">
      <c r="A95">
        <v>92</v>
      </c>
      <c r="B95" t="s">
        <v>113</v>
      </c>
      <c r="C95" s="3">
        <v>46196</v>
      </c>
      <c r="D95" t="s">
        <v>9</v>
      </c>
      <c r="E95" s="6">
        <v>39</v>
      </c>
      <c r="F95" s="7">
        <v>409.35</v>
      </c>
      <c r="G95" s="7">
        <v>0</v>
      </c>
      <c r="H95" t="s">
        <v>10</v>
      </c>
      <c r="I95" t="s">
        <v>318</v>
      </c>
      <c r="J95" s="6">
        <f t="shared" si="8"/>
        <v>2026</v>
      </c>
      <c r="K95" t="str">
        <f t="shared" si="9"/>
        <v>Jun-2026</v>
      </c>
      <c r="L95" t="str">
        <f t="shared" si="10"/>
        <v>Adult (25-40)</v>
      </c>
      <c r="M95" s="8">
        <f t="shared" si="11"/>
        <v>0</v>
      </c>
      <c r="N95" t="str">
        <f t="shared" si="12"/>
        <v>Normal</v>
      </c>
      <c r="O95" t="str">
        <f t="shared" si="13"/>
        <v>POL</v>
      </c>
      <c r="P95" t="str">
        <f t="shared" si="14"/>
        <v>LIFE</v>
      </c>
      <c r="Q95">
        <f t="shared" ca="1" si="15"/>
        <v>51</v>
      </c>
    </row>
    <row r="96" spans="1:17" ht="15" customHeight="1" x14ac:dyDescent="0.35">
      <c r="A96">
        <v>93</v>
      </c>
      <c r="B96" t="s">
        <v>114</v>
      </c>
      <c r="C96" s="3">
        <v>45957</v>
      </c>
      <c r="D96" t="s">
        <v>16</v>
      </c>
      <c r="E96" s="6">
        <v>21</v>
      </c>
      <c r="F96" s="7">
        <v>572</v>
      </c>
      <c r="G96" s="7">
        <v>0</v>
      </c>
      <c r="H96" t="s">
        <v>10</v>
      </c>
      <c r="I96" t="s">
        <v>318</v>
      </c>
      <c r="J96" s="6">
        <f t="shared" si="8"/>
        <v>2025</v>
      </c>
      <c r="K96" t="str">
        <f t="shared" si="9"/>
        <v>Oct-2025</v>
      </c>
      <c r="L96" t="str">
        <f t="shared" si="10"/>
        <v>Young (18-24)</v>
      </c>
      <c r="M96" s="8">
        <f t="shared" si="11"/>
        <v>0</v>
      </c>
      <c r="N96" t="str">
        <f t="shared" si="12"/>
        <v>Normal</v>
      </c>
      <c r="O96" t="str">
        <f t="shared" si="13"/>
        <v>POL</v>
      </c>
      <c r="P96" t="str">
        <f t="shared" si="14"/>
        <v>PROPERTY</v>
      </c>
      <c r="Q96">
        <f t="shared" ca="1" si="15"/>
        <v>222</v>
      </c>
    </row>
    <row r="97" spans="1:17" ht="15" customHeight="1" x14ac:dyDescent="0.35">
      <c r="A97">
        <v>94</v>
      </c>
      <c r="B97" t="s">
        <v>115</v>
      </c>
      <c r="C97" s="3">
        <v>45740</v>
      </c>
      <c r="D97" t="s">
        <v>40</v>
      </c>
      <c r="E97" s="6">
        <v>55</v>
      </c>
      <c r="F97" s="7">
        <v>106.3</v>
      </c>
      <c r="G97" s="7">
        <v>0</v>
      </c>
      <c r="H97" t="s">
        <v>10</v>
      </c>
      <c r="I97" t="s">
        <v>320</v>
      </c>
      <c r="J97" s="6">
        <f t="shared" si="8"/>
        <v>2025</v>
      </c>
      <c r="K97" t="str">
        <f t="shared" si="9"/>
        <v>Mar-2025</v>
      </c>
      <c r="L97" t="str">
        <f t="shared" si="10"/>
        <v>Mid-Age (41-60)</v>
      </c>
      <c r="M97" s="8">
        <f t="shared" si="11"/>
        <v>0</v>
      </c>
      <c r="N97" t="str">
        <f t="shared" si="12"/>
        <v>Normal</v>
      </c>
      <c r="O97" t="str">
        <f t="shared" si="13"/>
        <v>POL</v>
      </c>
      <c r="P97" t="str">
        <f t="shared" si="14"/>
        <v>TRAVEL</v>
      </c>
      <c r="Q97">
        <f t="shared" ca="1" si="15"/>
        <v>377</v>
      </c>
    </row>
    <row r="98" spans="1:17" ht="15" customHeight="1" x14ac:dyDescent="0.35">
      <c r="A98">
        <v>95</v>
      </c>
      <c r="B98" t="s">
        <v>116</v>
      </c>
      <c r="C98" s="3">
        <v>46037</v>
      </c>
      <c r="D98" t="s">
        <v>19</v>
      </c>
      <c r="E98" s="6">
        <v>74</v>
      </c>
      <c r="F98" s="7">
        <v>350.74</v>
      </c>
      <c r="G98" s="7">
        <v>0</v>
      </c>
      <c r="H98" t="s">
        <v>10</v>
      </c>
      <c r="I98" t="s">
        <v>318</v>
      </c>
      <c r="J98" s="6">
        <f t="shared" si="8"/>
        <v>2026</v>
      </c>
      <c r="K98" t="str">
        <f t="shared" si="9"/>
        <v>Jan-2026</v>
      </c>
      <c r="L98" t="str">
        <f t="shared" si="10"/>
        <v>Senior (60+)</v>
      </c>
      <c r="M98" s="8">
        <f t="shared" si="11"/>
        <v>0</v>
      </c>
      <c r="N98" t="str">
        <f t="shared" si="12"/>
        <v>Normal</v>
      </c>
      <c r="O98" t="str">
        <f t="shared" si="13"/>
        <v>POL</v>
      </c>
      <c r="P98" t="str">
        <f t="shared" si="14"/>
        <v>HEALTH</v>
      </c>
      <c r="Q98">
        <f t="shared" ca="1" si="15"/>
        <v>164</v>
      </c>
    </row>
    <row r="99" spans="1:17" ht="15" customHeight="1" x14ac:dyDescent="0.35">
      <c r="A99">
        <v>96</v>
      </c>
      <c r="B99" t="s">
        <v>117</v>
      </c>
      <c r="C99" s="3">
        <v>46052</v>
      </c>
      <c r="D99" t="s">
        <v>19</v>
      </c>
      <c r="E99" s="6">
        <v>55</v>
      </c>
      <c r="F99" s="7">
        <v>373.58</v>
      </c>
      <c r="G99" s="7">
        <v>1362.06</v>
      </c>
      <c r="H99" t="s">
        <v>17</v>
      </c>
      <c r="I99" t="s">
        <v>318</v>
      </c>
      <c r="J99" s="6">
        <f t="shared" si="8"/>
        <v>2026</v>
      </c>
      <c r="K99" t="str">
        <f t="shared" si="9"/>
        <v>Jan-2026</v>
      </c>
      <c r="L99" t="str">
        <f t="shared" si="10"/>
        <v>Mid-Age (41-60)</v>
      </c>
      <c r="M99" s="8">
        <f t="shared" si="11"/>
        <v>3.65</v>
      </c>
      <c r="N99" t="str">
        <f t="shared" si="12"/>
        <v>Normal</v>
      </c>
      <c r="O99" t="str">
        <f t="shared" si="13"/>
        <v>POL</v>
      </c>
      <c r="P99" t="str">
        <f t="shared" si="14"/>
        <v>HEALTH</v>
      </c>
      <c r="Q99">
        <f t="shared" ca="1" si="15"/>
        <v>153</v>
      </c>
    </row>
    <row r="100" spans="1:17" ht="15" customHeight="1" x14ac:dyDescent="0.35">
      <c r="A100">
        <v>97</v>
      </c>
      <c r="B100" t="s">
        <v>118</v>
      </c>
      <c r="C100" s="3">
        <v>46022</v>
      </c>
      <c r="D100" t="s">
        <v>16</v>
      </c>
      <c r="E100" s="6">
        <v>70</v>
      </c>
      <c r="F100" s="7">
        <v>542.20000000000005</v>
      </c>
      <c r="G100" s="7">
        <v>0</v>
      </c>
      <c r="H100" t="s">
        <v>10</v>
      </c>
      <c r="I100" t="s">
        <v>318</v>
      </c>
      <c r="J100" s="6">
        <f t="shared" si="8"/>
        <v>2025</v>
      </c>
      <c r="K100" t="str">
        <f t="shared" si="9"/>
        <v>Dec-2025</v>
      </c>
      <c r="L100" t="str">
        <f t="shared" si="10"/>
        <v>Senior (60+)</v>
      </c>
      <c r="M100" s="8">
        <f t="shared" si="11"/>
        <v>0</v>
      </c>
      <c r="N100" t="str">
        <f t="shared" si="12"/>
        <v>Normal</v>
      </c>
      <c r="O100" t="str">
        <f t="shared" si="13"/>
        <v>POL</v>
      </c>
      <c r="P100" t="str">
        <f t="shared" si="14"/>
        <v>PROPERTY</v>
      </c>
      <c r="Q100">
        <f t="shared" ca="1" si="15"/>
        <v>175</v>
      </c>
    </row>
    <row r="101" spans="1:17" ht="15" customHeight="1" x14ac:dyDescent="0.35">
      <c r="A101">
        <v>98</v>
      </c>
      <c r="B101" t="s">
        <v>119</v>
      </c>
      <c r="C101" s="3">
        <v>46162</v>
      </c>
      <c r="D101" t="s">
        <v>9</v>
      </c>
      <c r="E101" s="6">
        <v>45</v>
      </c>
      <c r="F101" s="7">
        <v>512.04</v>
      </c>
      <c r="G101" s="7">
        <v>828.81</v>
      </c>
      <c r="H101" t="s">
        <v>17</v>
      </c>
      <c r="I101" t="s">
        <v>319</v>
      </c>
      <c r="J101" s="6">
        <f t="shared" si="8"/>
        <v>2026</v>
      </c>
      <c r="K101" t="str">
        <f t="shared" si="9"/>
        <v>May-2026</v>
      </c>
      <c r="L101" t="str">
        <f t="shared" si="10"/>
        <v>Mid-Age (41-60)</v>
      </c>
      <c r="M101" s="8">
        <f t="shared" si="11"/>
        <v>1.62</v>
      </c>
      <c r="N101" t="str">
        <f t="shared" si="12"/>
        <v>Normal</v>
      </c>
      <c r="O101" t="str">
        <f t="shared" si="13"/>
        <v>POL</v>
      </c>
      <c r="P101" t="str">
        <f t="shared" si="14"/>
        <v>LIFE</v>
      </c>
      <c r="Q101">
        <f t="shared" ca="1" si="15"/>
        <v>75</v>
      </c>
    </row>
    <row r="102" spans="1:17" ht="15" customHeight="1" x14ac:dyDescent="0.35">
      <c r="A102">
        <v>99</v>
      </c>
      <c r="B102" t="s">
        <v>120</v>
      </c>
      <c r="C102" s="3">
        <v>46050</v>
      </c>
      <c r="D102" t="s">
        <v>9</v>
      </c>
      <c r="E102" s="6">
        <v>63</v>
      </c>
      <c r="F102" s="7">
        <v>343.2</v>
      </c>
      <c r="G102" s="7">
        <v>3228.11</v>
      </c>
      <c r="H102" t="s">
        <v>13</v>
      </c>
      <c r="I102" t="s">
        <v>318</v>
      </c>
      <c r="J102" s="6">
        <f t="shared" si="8"/>
        <v>2026</v>
      </c>
      <c r="K102" t="str">
        <f t="shared" si="9"/>
        <v>Jan-2026</v>
      </c>
      <c r="L102" t="str">
        <f t="shared" si="10"/>
        <v>Senior (60+)</v>
      </c>
      <c r="M102" s="8">
        <f t="shared" si="11"/>
        <v>9.41</v>
      </c>
      <c r="N102" t="str">
        <f t="shared" si="12"/>
        <v>Needs Review</v>
      </c>
      <c r="O102" t="str">
        <f t="shared" si="13"/>
        <v>POL</v>
      </c>
      <c r="P102" t="str">
        <f t="shared" si="14"/>
        <v>LIFE</v>
      </c>
      <c r="Q102">
        <f t="shared" ca="1" si="15"/>
        <v>155</v>
      </c>
    </row>
    <row r="103" spans="1:17" ht="15" customHeight="1" x14ac:dyDescent="0.35">
      <c r="A103">
        <v>100</v>
      </c>
      <c r="B103" t="s">
        <v>121</v>
      </c>
      <c r="C103" s="3">
        <v>45911</v>
      </c>
      <c r="D103" t="s">
        <v>12</v>
      </c>
      <c r="E103" s="6">
        <v>31</v>
      </c>
      <c r="F103" s="7">
        <v>210.02</v>
      </c>
      <c r="G103" s="7">
        <v>0</v>
      </c>
      <c r="H103" t="s">
        <v>10</v>
      </c>
      <c r="I103" t="s">
        <v>318</v>
      </c>
      <c r="J103" s="6">
        <f t="shared" si="8"/>
        <v>2025</v>
      </c>
      <c r="K103" t="str">
        <f t="shared" si="9"/>
        <v>Sep-2025</v>
      </c>
      <c r="L103" t="str">
        <f t="shared" si="10"/>
        <v>Adult (25-40)</v>
      </c>
      <c r="M103" s="8">
        <f t="shared" si="11"/>
        <v>0</v>
      </c>
      <c r="N103" t="str">
        <f t="shared" si="12"/>
        <v>Normal</v>
      </c>
      <c r="O103" t="str">
        <f t="shared" si="13"/>
        <v>POL</v>
      </c>
      <c r="P103" t="str">
        <f t="shared" si="14"/>
        <v>MOTOR</v>
      </c>
      <c r="Q103">
        <f t="shared" ca="1" si="15"/>
        <v>254</v>
      </c>
    </row>
    <row r="104" spans="1:17" ht="15" customHeight="1" x14ac:dyDescent="0.35">
      <c r="A104">
        <v>101</v>
      </c>
      <c r="B104" t="s">
        <v>122</v>
      </c>
      <c r="C104" s="3">
        <v>45897</v>
      </c>
      <c r="D104" t="s">
        <v>12</v>
      </c>
      <c r="E104" s="6">
        <v>37</v>
      </c>
      <c r="F104" s="7">
        <v>214.36</v>
      </c>
      <c r="G104" s="7">
        <v>710.18</v>
      </c>
      <c r="H104" t="s">
        <v>30</v>
      </c>
      <c r="I104" t="s">
        <v>318</v>
      </c>
      <c r="J104" s="6">
        <f t="shared" si="8"/>
        <v>2025</v>
      </c>
      <c r="K104" t="str">
        <f t="shared" si="9"/>
        <v>Aug-2025</v>
      </c>
      <c r="L104" t="str">
        <f t="shared" si="10"/>
        <v>Adult (25-40)</v>
      </c>
      <c r="M104" s="8">
        <f t="shared" si="11"/>
        <v>3.31</v>
      </c>
      <c r="N104" t="str">
        <f t="shared" si="12"/>
        <v>Normal</v>
      </c>
      <c r="O104" t="str">
        <f t="shared" si="13"/>
        <v>POL</v>
      </c>
      <c r="P104" t="str">
        <f t="shared" si="14"/>
        <v>MOTOR</v>
      </c>
      <c r="Q104">
        <f t="shared" ca="1" si="15"/>
        <v>264</v>
      </c>
    </row>
    <row r="105" spans="1:17" ht="15" customHeight="1" x14ac:dyDescent="0.35">
      <c r="A105">
        <v>102</v>
      </c>
      <c r="B105" t="s">
        <v>124</v>
      </c>
      <c r="C105" s="3">
        <v>45866</v>
      </c>
      <c r="D105" t="s">
        <v>16</v>
      </c>
      <c r="E105" s="6">
        <v>80</v>
      </c>
      <c r="F105" s="7">
        <v>538.52</v>
      </c>
      <c r="G105" s="7">
        <v>2781.42</v>
      </c>
      <c r="H105" t="s">
        <v>38</v>
      </c>
      <c r="I105" t="s">
        <v>321</v>
      </c>
      <c r="J105" s="6">
        <f t="shared" si="8"/>
        <v>2025</v>
      </c>
      <c r="K105" t="str">
        <f t="shared" si="9"/>
        <v>Jul-2025</v>
      </c>
      <c r="L105" t="str">
        <f t="shared" si="10"/>
        <v>Senior (60+)</v>
      </c>
      <c r="M105" s="8">
        <f t="shared" si="11"/>
        <v>5.16</v>
      </c>
      <c r="N105" t="str">
        <f t="shared" si="12"/>
        <v>Needs Review</v>
      </c>
      <c r="O105" t="str">
        <f t="shared" si="13"/>
        <v>POL</v>
      </c>
      <c r="P105" t="str">
        <f t="shared" si="14"/>
        <v>PROPERTY</v>
      </c>
      <c r="Q105">
        <f t="shared" ca="1" si="15"/>
        <v>287</v>
      </c>
    </row>
    <row r="106" spans="1:17" ht="15" customHeight="1" x14ac:dyDescent="0.35">
      <c r="A106">
        <v>103</v>
      </c>
      <c r="B106" t="s">
        <v>125</v>
      </c>
      <c r="C106" s="3">
        <v>45741</v>
      </c>
      <c r="D106" t="s">
        <v>12</v>
      </c>
      <c r="E106" s="6">
        <v>58</v>
      </c>
      <c r="F106" s="7">
        <v>242.61</v>
      </c>
      <c r="G106" s="7">
        <v>2987.82</v>
      </c>
      <c r="H106" t="s">
        <v>17</v>
      </c>
      <c r="I106" t="s">
        <v>318</v>
      </c>
      <c r="J106" s="6">
        <f t="shared" si="8"/>
        <v>2025</v>
      </c>
      <c r="K106" t="str">
        <f t="shared" si="9"/>
        <v>Mar-2025</v>
      </c>
      <c r="L106" t="str">
        <f t="shared" si="10"/>
        <v>Mid-Age (41-60)</v>
      </c>
      <c r="M106" s="8">
        <f t="shared" si="11"/>
        <v>12.32</v>
      </c>
      <c r="N106" t="str">
        <f t="shared" si="12"/>
        <v>Normal</v>
      </c>
      <c r="O106" t="str">
        <f t="shared" si="13"/>
        <v>POL</v>
      </c>
      <c r="P106" t="str">
        <f t="shared" si="14"/>
        <v>MOTOR</v>
      </c>
      <c r="Q106">
        <f t="shared" ca="1" si="15"/>
        <v>376</v>
      </c>
    </row>
    <row r="107" spans="1:17" ht="15" customHeight="1" x14ac:dyDescent="0.35">
      <c r="A107">
        <v>104</v>
      </c>
      <c r="B107" t="s">
        <v>126</v>
      </c>
      <c r="C107" s="3">
        <v>46049</v>
      </c>
      <c r="D107" t="s">
        <v>19</v>
      </c>
      <c r="E107" s="6">
        <v>57</v>
      </c>
      <c r="F107" s="7">
        <v>344.16</v>
      </c>
      <c r="G107" s="7">
        <v>0</v>
      </c>
      <c r="H107" t="s">
        <v>10</v>
      </c>
      <c r="I107" t="s">
        <v>322</v>
      </c>
      <c r="J107" s="6">
        <f t="shared" si="8"/>
        <v>2026</v>
      </c>
      <c r="K107" t="str">
        <f t="shared" si="9"/>
        <v>Jan-2026</v>
      </c>
      <c r="L107" t="str">
        <f t="shared" si="10"/>
        <v>Mid-Age (41-60)</v>
      </c>
      <c r="M107" s="8">
        <f t="shared" si="11"/>
        <v>0</v>
      </c>
      <c r="N107" t="str">
        <f t="shared" si="12"/>
        <v>Normal</v>
      </c>
      <c r="O107" t="str">
        <f t="shared" si="13"/>
        <v>POL</v>
      </c>
      <c r="P107" t="str">
        <f t="shared" si="14"/>
        <v>HEALTH</v>
      </c>
      <c r="Q107">
        <f t="shared" ca="1" si="15"/>
        <v>156</v>
      </c>
    </row>
    <row r="108" spans="1:17" ht="15" customHeight="1" x14ac:dyDescent="0.35">
      <c r="A108">
        <v>105</v>
      </c>
      <c r="B108" t="s">
        <v>127</v>
      </c>
      <c r="C108" s="3">
        <v>45910</v>
      </c>
      <c r="D108" t="s">
        <v>9</v>
      </c>
      <c r="E108" s="6">
        <v>33</v>
      </c>
      <c r="F108" s="7">
        <v>455.93</v>
      </c>
      <c r="G108" s="7">
        <v>4358.3999999999996</v>
      </c>
      <c r="H108" t="s">
        <v>38</v>
      </c>
      <c r="I108" t="s">
        <v>321</v>
      </c>
      <c r="J108" s="6">
        <f t="shared" si="8"/>
        <v>2025</v>
      </c>
      <c r="K108" t="str">
        <f t="shared" si="9"/>
        <v>Sep-2025</v>
      </c>
      <c r="L108" t="str">
        <f t="shared" si="10"/>
        <v>Adult (25-40)</v>
      </c>
      <c r="M108" s="8">
        <f t="shared" si="11"/>
        <v>9.56</v>
      </c>
      <c r="N108" t="str">
        <f t="shared" si="12"/>
        <v>Needs Review</v>
      </c>
      <c r="O108" t="str">
        <f t="shared" si="13"/>
        <v>POL</v>
      </c>
      <c r="P108" t="str">
        <f t="shared" si="14"/>
        <v>LIFE</v>
      </c>
      <c r="Q108">
        <f t="shared" ca="1" si="15"/>
        <v>255</v>
      </c>
    </row>
    <row r="109" spans="1:17" ht="15" customHeight="1" x14ac:dyDescent="0.35">
      <c r="A109">
        <v>106</v>
      </c>
      <c r="B109" t="s">
        <v>128</v>
      </c>
      <c r="C109" s="3">
        <v>45878</v>
      </c>
      <c r="D109" t="s">
        <v>16</v>
      </c>
      <c r="E109" s="6">
        <v>60</v>
      </c>
      <c r="F109" s="7">
        <v>345.58</v>
      </c>
      <c r="G109" s="7">
        <v>3094.19</v>
      </c>
      <c r="H109" t="s">
        <v>17</v>
      </c>
      <c r="I109" t="s">
        <v>318</v>
      </c>
      <c r="J109" s="6">
        <f t="shared" si="8"/>
        <v>2025</v>
      </c>
      <c r="K109" t="str">
        <f t="shared" si="9"/>
        <v>Aug-2025</v>
      </c>
      <c r="L109" t="str">
        <f t="shared" si="10"/>
        <v>Mid-Age (41-60)</v>
      </c>
      <c r="M109" s="8">
        <f t="shared" si="11"/>
        <v>8.9499999999999993</v>
      </c>
      <c r="N109" t="str">
        <f t="shared" si="12"/>
        <v>High-Value Approved</v>
      </c>
      <c r="O109" t="str">
        <f t="shared" si="13"/>
        <v>POL</v>
      </c>
      <c r="P109" t="str">
        <f t="shared" si="14"/>
        <v>PROPERTY</v>
      </c>
      <c r="Q109">
        <f t="shared" ca="1" si="15"/>
        <v>277</v>
      </c>
    </row>
    <row r="110" spans="1:17" ht="15" customHeight="1" x14ac:dyDescent="0.35">
      <c r="A110">
        <v>107</v>
      </c>
      <c r="B110" t="s">
        <v>129</v>
      </c>
      <c r="C110" s="3">
        <v>46170</v>
      </c>
      <c r="D110" t="s">
        <v>16</v>
      </c>
      <c r="E110" s="6">
        <v>51</v>
      </c>
      <c r="F110" s="7">
        <v>387.51</v>
      </c>
      <c r="G110" s="7">
        <v>708.18</v>
      </c>
      <c r="H110" t="s">
        <v>13</v>
      </c>
      <c r="I110" t="s">
        <v>318</v>
      </c>
      <c r="J110" s="6">
        <f t="shared" si="8"/>
        <v>2026</v>
      </c>
      <c r="K110" t="str">
        <f t="shared" si="9"/>
        <v>May-2026</v>
      </c>
      <c r="L110" t="str">
        <f t="shared" si="10"/>
        <v>Mid-Age (41-60)</v>
      </c>
      <c r="M110" s="8">
        <f t="shared" si="11"/>
        <v>1.83</v>
      </c>
      <c r="N110" t="str">
        <f t="shared" si="12"/>
        <v>Needs Review</v>
      </c>
      <c r="O110" t="str">
        <f t="shared" si="13"/>
        <v>POL</v>
      </c>
      <c r="P110" t="str">
        <f t="shared" si="14"/>
        <v>PROPERTY</v>
      </c>
      <c r="Q110">
        <f t="shared" ca="1" si="15"/>
        <v>69</v>
      </c>
    </row>
    <row r="111" spans="1:17" ht="15" customHeight="1" x14ac:dyDescent="0.35">
      <c r="A111">
        <v>108</v>
      </c>
      <c r="B111" t="s">
        <v>130</v>
      </c>
      <c r="C111" s="3">
        <v>45789</v>
      </c>
      <c r="D111" t="s">
        <v>9</v>
      </c>
      <c r="E111" s="6">
        <v>35</v>
      </c>
      <c r="F111" s="7">
        <v>413.02</v>
      </c>
      <c r="G111" s="7">
        <v>0</v>
      </c>
      <c r="H111" t="s">
        <v>10</v>
      </c>
      <c r="I111" t="s">
        <v>320</v>
      </c>
      <c r="J111" s="6">
        <f t="shared" si="8"/>
        <v>2025</v>
      </c>
      <c r="K111" t="str">
        <f t="shared" si="9"/>
        <v>May-2025</v>
      </c>
      <c r="L111" t="str">
        <f t="shared" si="10"/>
        <v>Adult (25-40)</v>
      </c>
      <c r="M111" s="8">
        <f t="shared" si="11"/>
        <v>0</v>
      </c>
      <c r="N111" t="str">
        <f t="shared" si="12"/>
        <v>Normal</v>
      </c>
      <c r="O111" t="str">
        <f t="shared" si="13"/>
        <v>POL</v>
      </c>
      <c r="P111" t="str">
        <f t="shared" si="14"/>
        <v>LIFE</v>
      </c>
      <c r="Q111">
        <f t="shared" ca="1" si="15"/>
        <v>342</v>
      </c>
    </row>
    <row r="112" spans="1:17" ht="15" customHeight="1" x14ac:dyDescent="0.35">
      <c r="A112">
        <v>109</v>
      </c>
      <c r="B112" t="s">
        <v>131</v>
      </c>
      <c r="C112" s="3">
        <v>46191</v>
      </c>
      <c r="D112" t="s">
        <v>19</v>
      </c>
      <c r="E112" s="6">
        <v>46</v>
      </c>
      <c r="F112" s="7">
        <v>434.09</v>
      </c>
      <c r="G112" s="7">
        <v>541.76</v>
      </c>
      <c r="H112" t="s">
        <v>17</v>
      </c>
      <c r="I112" t="s">
        <v>319</v>
      </c>
      <c r="J112" s="6">
        <f t="shared" si="8"/>
        <v>2026</v>
      </c>
      <c r="K112" t="str">
        <f t="shared" si="9"/>
        <v>Jun-2026</v>
      </c>
      <c r="L112" t="str">
        <f t="shared" si="10"/>
        <v>Mid-Age (41-60)</v>
      </c>
      <c r="M112" s="8">
        <f t="shared" si="11"/>
        <v>1.25</v>
      </c>
      <c r="N112" t="str">
        <f t="shared" si="12"/>
        <v>Normal</v>
      </c>
      <c r="O112" t="str">
        <f t="shared" si="13"/>
        <v>POL</v>
      </c>
      <c r="P112" t="str">
        <f t="shared" si="14"/>
        <v>HEALTH</v>
      </c>
      <c r="Q112">
        <f t="shared" ca="1" si="15"/>
        <v>54</v>
      </c>
    </row>
    <row r="113" spans="1:17" ht="15" customHeight="1" x14ac:dyDescent="0.35">
      <c r="A113">
        <v>110</v>
      </c>
      <c r="B113" t="s">
        <v>132</v>
      </c>
      <c r="C113" s="3">
        <v>45999</v>
      </c>
      <c r="D113" t="s">
        <v>12</v>
      </c>
      <c r="E113" s="6">
        <v>19</v>
      </c>
      <c r="F113" s="7">
        <v>358.18</v>
      </c>
      <c r="G113" s="7">
        <v>1870.3</v>
      </c>
      <c r="H113" t="s">
        <v>17</v>
      </c>
      <c r="I113" t="s">
        <v>318</v>
      </c>
      <c r="J113" s="6">
        <f t="shared" si="8"/>
        <v>2025</v>
      </c>
      <c r="K113" t="str">
        <f t="shared" si="9"/>
        <v>Dec-2025</v>
      </c>
      <c r="L113" t="str">
        <f t="shared" si="10"/>
        <v>Young (18-24)</v>
      </c>
      <c r="M113" s="8">
        <f t="shared" si="11"/>
        <v>5.22</v>
      </c>
      <c r="N113" t="str">
        <f t="shared" si="12"/>
        <v>Normal</v>
      </c>
      <c r="O113" t="str">
        <f t="shared" si="13"/>
        <v>POL</v>
      </c>
      <c r="P113" t="str">
        <f t="shared" si="14"/>
        <v>MOTOR</v>
      </c>
      <c r="Q113">
        <f t="shared" ca="1" si="15"/>
        <v>192</v>
      </c>
    </row>
    <row r="114" spans="1:17" ht="15" customHeight="1" x14ac:dyDescent="0.35">
      <c r="A114">
        <v>111</v>
      </c>
      <c r="B114" t="s">
        <v>133</v>
      </c>
      <c r="C114" s="3">
        <v>46027</v>
      </c>
      <c r="D114" t="s">
        <v>16</v>
      </c>
      <c r="E114" s="6">
        <v>30</v>
      </c>
      <c r="F114" s="7">
        <v>389.49</v>
      </c>
      <c r="G114" s="7">
        <v>0</v>
      </c>
      <c r="H114" t="s">
        <v>10</v>
      </c>
      <c r="I114" t="s">
        <v>318</v>
      </c>
      <c r="J114" s="6">
        <f t="shared" si="8"/>
        <v>2026</v>
      </c>
      <c r="K114" t="str">
        <f t="shared" si="9"/>
        <v>Jan-2026</v>
      </c>
      <c r="L114" t="str">
        <f t="shared" si="10"/>
        <v>Adult (25-40)</v>
      </c>
      <c r="M114" s="8">
        <f t="shared" si="11"/>
        <v>0</v>
      </c>
      <c r="N114" t="str">
        <f t="shared" si="12"/>
        <v>Normal</v>
      </c>
      <c r="O114" t="str">
        <f t="shared" si="13"/>
        <v>POL</v>
      </c>
      <c r="P114" t="str">
        <f t="shared" si="14"/>
        <v>PROPERTY</v>
      </c>
      <c r="Q114">
        <f t="shared" ca="1" si="15"/>
        <v>172</v>
      </c>
    </row>
    <row r="115" spans="1:17" ht="15" customHeight="1" x14ac:dyDescent="0.35">
      <c r="A115">
        <v>112</v>
      </c>
      <c r="B115" t="s">
        <v>134</v>
      </c>
      <c r="C115" s="3">
        <v>45915</v>
      </c>
      <c r="D115" t="s">
        <v>40</v>
      </c>
      <c r="E115" s="6">
        <v>33</v>
      </c>
      <c r="F115" s="7">
        <v>113.63</v>
      </c>
      <c r="G115" s="7">
        <v>894.28</v>
      </c>
      <c r="H115" t="s">
        <v>30</v>
      </c>
      <c r="I115" t="s">
        <v>318</v>
      </c>
      <c r="J115" s="6">
        <f t="shared" si="8"/>
        <v>2025</v>
      </c>
      <c r="K115" t="str">
        <f t="shared" si="9"/>
        <v>Sep-2025</v>
      </c>
      <c r="L115" t="str">
        <f t="shared" si="10"/>
        <v>Adult (25-40)</v>
      </c>
      <c r="M115" s="8">
        <f t="shared" si="11"/>
        <v>7.87</v>
      </c>
      <c r="N115" t="str">
        <f t="shared" si="12"/>
        <v>Normal</v>
      </c>
      <c r="O115" t="str">
        <f t="shared" si="13"/>
        <v>POL</v>
      </c>
      <c r="P115" t="str">
        <f t="shared" si="14"/>
        <v>TRAVEL</v>
      </c>
      <c r="Q115">
        <f t="shared" ca="1" si="15"/>
        <v>252</v>
      </c>
    </row>
    <row r="116" spans="1:17" ht="15" customHeight="1" x14ac:dyDescent="0.35">
      <c r="A116">
        <v>113</v>
      </c>
      <c r="B116" t="s">
        <v>135</v>
      </c>
      <c r="C116" s="3">
        <v>45660</v>
      </c>
      <c r="D116" t="s">
        <v>12</v>
      </c>
      <c r="E116" s="6">
        <v>40</v>
      </c>
      <c r="F116" s="7">
        <v>267.41000000000003</v>
      </c>
      <c r="G116" s="7">
        <v>0</v>
      </c>
      <c r="H116" t="s">
        <v>10</v>
      </c>
      <c r="I116" t="s">
        <v>318</v>
      </c>
      <c r="J116" s="6">
        <f t="shared" si="8"/>
        <v>2025</v>
      </c>
      <c r="K116" t="str">
        <f t="shared" si="9"/>
        <v>Jan-2025</v>
      </c>
      <c r="L116" t="str">
        <f t="shared" si="10"/>
        <v>Adult (25-40)</v>
      </c>
      <c r="M116" s="8">
        <f t="shared" si="11"/>
        <v>0</v>
      </c>
      <c r="N116" t="str">
        <f t="shared" si="12"/>
        <v>Normal</v>
      </c>
      <c r="O116" t="str">
        <f t="shared" si="13"/>
        <v>POL</v>
      </c>
      <c r="P116" t="str">
        <f t="shared" si="14"/>
        <v>MOTOR</v>
      </c>
      <c r="Q116">
        <f t="shared" ca="1" si="15"/>
        <v>433</v>
      </c>
    </row>
    <row r="117" spans="1:17" ht="15" customHeight="1" x14ac:dyDescent="0.35">
      <c r="A117">
        <v>114</v>
      </c>
      <c r="B117" t="s">
        <v>136</v>
      </c>
      <c r="C117" s="3">
        <v>45910</v>
      </c>
      <c r="D117" t="s">
        <v>12</v>
      </c>
      <c r="E117" s="6">
        <v>62</v>
      </c>
      <c r="F117" s="7">
        <v>241.36</v>
      </c>
      <c r="G117" s="7">
        <v>2332.4299999999998</v>
      </c>
      <c r="H117" t="s">
        <v>17</v>
      </c>
      <c r="I117" t="s">
        <v>318</v>
      </c>
      <c r="J117" s="6">
        <f t="shared" si="8"/>
        <v>2025</v>
      </c>
      <c r="K117" t="str">
        <f t="shared" si="9"/>
        <v>Sep-2025</v>
      </c>
      <c r="L117" t="str">
        <f t="shared" si="10"/>
        <v>Senior (60+)</v>
      </c>
      <c r="M117" s="8">
        <f t="shared" si="11"/>
        <v>9.66</v>
      </c>
      <c r="N117" t="str">
        <f t="shared" si="12"/>
        <v>Normal</v>
      </c>
      <c r="O117" t="str">
        <f t="shared" si="13"/>
        <v>POL</v>
      </c>
      <c r="P117" t="str">
        <f t="shared" si="14"/>
        <v>MOTOR</v>
      </c>
      <c r="Q117">
        <f t="shared" ca="1" si="15"/>
        <v>255</v>
      </c>
    </row>
    <row r="118" spans="1:17" ht="15" customHeight="1" x14ac:dyDescent="0.35">
      <c r="A118">
        <v>115</v>
      </c>
      <c r="B118" t="s">
        <v>137</v>
      </c>
      <c r="C118" s="3">
        <v>46036</v>
      </c>
      <c r="D118" t="s">
        <v>9</v>
      </c>
      <c r="E118" s="6">
        <v>68</v>
      </c>
      <c r="F118" s="7">
        <v>444.17</v>
      </c>
      <c r="G118" s="7">
        <v>0</v>
      </c>
      <c r="H118" t="s">
        <v>10</v>
      </c>
      <c r="I118" t="s">
        <v>318</v>
      </c>
      <c r="J118" s="6">
        <f t="shared" si="8"/>
        <v>2026</v>
      </c>
      <c r="K118" t="str">
        <f t="shared" si="9"/>
        <v>Jan-2026</v>
      </c>
      <c r="L118" t="str">
        <f t="shared" si="10"/>
        <v>Senior (60+)</v>
      </c>
      <c r="M118" s="8">
        <f t="shared" si="11"/>
        <v>0</v>
      </c>
      <c r="N118" t="str">
        <f t="shared" si="12"/>
        <v>Normal</v>
      </c>
      <c r="O118" t="str">
        <f t="shared" si="13"/>
        <v>POL</v>
      </c>
      <c r="P118" t="str">
        <f t="shared" si="14"/>
        <v>LIFE</v>
      </c>
      <c r="Q118">
        <f t="shared" ca="1" si="15"/>
        <v>165</v>
      </c>
    </row>
    <row r="119" spans="1:17" ht="15" customHeight="1" x14ac:dyDescent="0.35">
      <c r="A119">
        <v>116</v>
      </c>
      <c r="B119" t="s">
        <v>139</v>
      </c>
      <c r="C119" s="3">
        <v>46130</v>
      </c>
      <c r="D119" t="s">
        <v>16</v>
      </c>
      <c r="E119" s="6">
        <v>77</v>
      </c>
      <c r="F119" s="7">
        <v>512.71</v>
      </c>
      <c r="G119" s="7">
        <v>2989.64</v>
      </c>
      <c r="H119" t="s">
        <v>30</v>
      </c>
      <c r="I119" t="s">
        <v>318</v>
      </c>
      <c r="J119" s="6">
        <f t="shared" si="8"/>
        <v>2026</v>
      </c>
      <c r="K119" t="str">
        <f t="shared" si="9"/>
        <v>Apr-2026</v>
      </c>
      <c r="L119" t="str">
        <f t="shared" si="10"/>
        <v>Senior (60+)</v>
      </c>
      <c r="M119" s="8">
        <f t="shared" si="11"/>
        <v>5.83</v>
      </c>
      <c r="N119" t="str">
        <f t="shared" si="12"/>
        <v>Normal</v>
      </c>
      <c r="O119" t="str">
        <f t="shared" si="13"/>
        <v>POL</v>
      </c>
      <c r="P119" t="str">
        <f t="shared" si="14"/>
        <v>PROPERTY</v>
      </c>
      <c r="Q119">
        <f t="shared" ca="1" si="15"/>
        <v>97</v>
      </c>
    </row>
    <row r="120" spans="1:17" ht="15" customHeight="1" x14ac:dyDescent="0.35">
      <c r="A120">
        <v>117</v>
      </c>
      <c r="B120" t="s">
        <v>140</v>
      </c>
      <c r="C120" s="3">
        <v>45789</v>
      </c>
      <c r="D120" t="s">
        <v>40</v>
      </c>
      <c r="E120" s="6">
        <v>19</v>
      </c>
      <c r="F120" s="7">
        <v>90.91</v>
      </c>
      <c r="G120" s="7">
        <v>849.98</v>
      </c>
      <c r="H120" t="s">
        <v>38</v>
      </c>
      <c r="I120" t="s">
        <v>321</v>
      </c>
      <c r="J120" s="6">
        <f t="shared" si="8"/>
        <v>2025</v>
      </c>
      <c r="K120" t="str">
        <f t="shared" si="9"/>
        <v>May-2025</v>
      </c>
      <c r="L120" t="str">
        <f t="shared" si="10"/>
        <v>Young (18-24)</v>
      </c>
      <c r="M120" s="8">
        <f t="shared" si="11"/>
        <v>9.35</v>
      </c>
      <c r="N120" t="str">
        <f t="shared" si="12"/>
        <v>Needs Review</v>
      </c>
      <c r="O120" t="str">
        <f t="shared" si="13"/>
        <v>POL</v>
      </c>
      <c r="P120" t="str">
        <f t="shared" si="14"/>
        <v>TRAVEL</v>
      </c>
      <c r="Q120">
        <f t="shared" ca="1" si="15"/>
        <v>342</v>
      </c>
    </row>
    <row r="121" spans="1:17" ht="15" customHeight="1" x14ac:dyDescent="0.35">
      <c r="A121">
        <v>118</v>
      </c>
      <c r="B121" t="s">
        <v>141</v>
      </c>
      <c r="C121" s="3">
        <v>45997</v>
      </c>
      <c r="D121" t="s">
        <v>16</v>
      </c>
      <c r="E121" s="6">
        <v>34</v>
      </c>
      <c r="F121" s="7">
        <v>567.03</v>
      </c>
      <c r="G121" s="7">
        <v>0</v>
      </c>
      <c r="H121" t="s">
        <v>10</v>
      </c>
      <c r="I121" t="s">
        <v>318</v>
      </c>
      <c r="J121" s="6">
        <f t="shared" si="8"/>
        <v>2025</v>
      </c>
      <c r="K121" t="str">
        <f t="shared" si="9"/>
        <v>Dec-2025</v>
      </c>
      <c r="L121" t="str">
        <f t="shared" si="10"/>
        <v>Adult (25-40)</v>
      </c>
      <c r="M121" s="8">
        <f t="shared" si="11"/>
        <v>0</v>
      </c>
      <c r="N121" t="str">
        <f t="shared" si="12"/>
        <v>Normal</v>
      </c>
      <c r="O121" t="str">
        <f t="shared" si="13"/>
        <v>POL</v>
      </c>
      <c r="P121" t="str">
        <f t="shared" si="14"/>
        <v>PROPERTY</v>
      </c>
      <c r="Q121">
        <f t="shared" ca="1" si="15"/>
        <v>192</v>
      </c>
    </row>
    <row r="122" spans="1:17" ht="15" customHeight="1" x14ac:dyDescent="0.35">
      <c r="A122">
        <v>119</v>
      </c>
      <c r="B122" t="s">
        <v>142</v>
      </c>
      <c r="C122" s="3">
        <v>46162</v>
      </c>
      <c r="D122" t="s">
        <v>16</v>
      </c>
      <c r="E122" s="6">
        <v>24</v>
      </c>
      <c r="F122" s="7">
        <v>485.29</v>
      </c>
      <c r="G122" s="7">
        <v>2880.16</v>
      </c>
      <c r="H122" t="s">
        <v>17</v>
      </c>
      <c r="I122" t="s">
        <v>317</v>
      </c>
      <c r="J122" s="6">
        <f t="shared" si="8"/>
        <v>2026</v>
      </c>
      <c r="K122" t="str">
        <f t="shared" si="9"/>
        <v>May-2026</v>
      </c>
      <c r="L122" t="str">
        <f t="shared" si="10"/>
        <v>Young (18-24)</v>
      </c>
      <c r="M122" s="8">
        <f t="shared" si="11"/>
        <v>5.93</v>
      </c>
      <c r="N122" t="str">
        <f t="shared" si="12"/>
        <v>Normal</v>
      </c>
      <c r="O122" t="str">
        <f t="shared" si="13"/>
        <v>POL</v>
      </c>
      <c r="P122" t="str">
        <f t="shared" si="14"/>
        <v>PROPERTY</v>
      </c>
      <c r="Q122">
        <f t="shared" ca="1" si="15"/>
        <v>75</v>
      </c>
    </row>
    <row r="123" spans="1:17" ht="15" customHeight="1" x14ac:dyDescent="0.35">
      <c r="A123">
        <v>120</v>
      </c>
      <c r="B123" t="s">
        <v>143</v>
      </c>
      <c r="C123" s="3">
        <v>45696</v>
      </c>
      <c r="D123" t="s">
        <v>16</v>
      </c>
      <c r="E123" s="6">
        <v>37</v>
      </c>
      <c r="F123" s="7">
        <v>378.53</v>
      </c>
      <c r="G123" s="7">
        <v>0</v>
      </c>
      <c r="H123" t="s">
        <v>38</v>
      </c>
      <c r="I123" t="s">
        <v>321</v>
      </c>
      <c r="J123" s="6">
        <f t="shared" si="8"/>
        <v>2025</v>
      </c>
      <c r="K123" t="str">
        <f t="shared" si="9"/>
        <v>Feb-2025</v>
      </c>
      <c r="L123" t="str">
        <f t="shared" si="10"/>
        <v>Adult (25-40)</v>
      </c>
      <c r="M123" s="8">
        <f t="shared" si="11"/>
        <v>0</v>
      </c>
      <c r="N123" t="str">
        <f t="shared" si="12"/>
        <v>Needs Review</v>
      </c>
      <c r="O123" t="str">
        <f t="shared" si="13"/>
        <v>POL</v>
      </c>
      <c r="P123" t="str">
        <f t="shared" si="14"/>
        <v>PROPERTY</v>
      </c>
      <c r="Q123">
        <f t="shared" ca="1" si="15"/>
        <v>407</v>
      </c>
    </row>
    <row r="124" spans="1:17" ht="15" customHeight="1" x14ac:dyDescent="0.35">
      <c r="A124">
        <v>121</v>
      </c>
      <c r="B124" t="s">
        <v>144</v>
      </c>
      <c r="C124" s="3">
        <v>45939</v>
      </c>
      <c r="D124" t="s">
        <v>12</v>
      </c>
      <c r="E124" s="6">
        <v>53</v>
      </c>
      <c r="F124" s="7">
        <v>258.06</v>
      </c>
      <c r="G124" s="7">
        <v>0</v>
      </c>
      <c r="H124" t="s">
        <v>10</v>
      </c>
      <c r="I124" t="s">
        <v>316</v>
      </c>
      <c r="J124" s="6">
        <f t="shared" si="8"/>
        <v>2025</v>
      </c>
      <c r="K124" t="str">
        <f t="shared" si="9"/>
        <v>Oct-2025</v>
      </c>
      <c r="L124" t="str">
        <f t="shared" si="10"/>
        <v>Mid-Age (41-60)</v>
      </c>
      <c r="M124" s="8">
        <f t="shared" si="11"/>
        <v>0</v>
      </c>
      <c r="N124" t="str">
        <f t="shared" si="12"/>
        <v>Normal</v>
      </c>
      <c r="O124" t="str">
        <f t="shared" si="13"/>
        <v>POL</v>
      </c>
      <c r="P124" t="str">
        <f t="shared" si="14"/>
        <v>MOTOR</v>
      </c>
      <c r="Q124">
        <f t="shared" ca="1" si="15"/>
        <v>234</v>
      </c>
    </row>
    <row r="125" spans="1:17" ht="15" customHeight="1" x14ac:dyDescent="0.35">
      <c r="A125">
        <v>122</v>
      </c>
      <c r="B125" t="s">
        <v>145</v>
      </c>
      <c r="C125" s="3">
        <v>45966</v>
      </c>
      <c r="D125" t="s">
        <v>40</v>
      </c>
      <c r="E125" s="6">
        <v>25</v>
      </c>
      <c r="F125" s="7">
        <v>104.91</v>
      </c>
      <c r="G125" s="7">
        <v>0</v>
      </c>
      <c r="H125" t="s">
        <v>10</v>
      </c>
      <c r="I125" t="s">
        <v>318</v>
      </c>
      <c r="J125" s="6">
        <f t="shared" si="8"/>
        <v>2025</v>
      </c>
      <c r="K125" t="str">
        <f t="shared" si="9"/>
        <v>Nov-2025</v>
      </c>
      <c r="L125" t="str">
        <f t="shared" si="10"/>
        <v>Adult (25-40)</v>
      </c>
      <c r="M125" s="8">
        <f t="shared" si="11"/>
        <v>0</v>
      </c>
      <c r="N125" t="str">
        <f t="shared" si="12"/>
        <v>Normal</v>
      </c>
      <c r="O125" t="str">
        <f t="shared" si="13"/>
        <v>POL</v>
      </c>
      <c r="P125" t="str">
        <f t="shared" si="14"/>
        <v>TRAVEL</v>
      </c>
      <c r="Q125">
        <f t="shared" ca="1" si="15"/>
        <v>215</v>
      </c>
    </row>
    <row r="126" spans="1:17" ht="15" customHeight="1" x14ac:dyDescent="0.35">
      <c r="A126">
        <v>123</v>
      </c>
      <c r="B126" t="s">
        <v>146</v>
      </c>
      <c r="C126" s="3">
        <v>45896</v>
      </c>
      <c r="D126" t="s">
        <v>16</v>
      </c>
      <c r="E126" s="6">
        <v>50</v>
      </c>
      <c r="F126" s="7">
        <v>451.65</v>
      </c>
      <c r="G126" s="7">
        <v>0</v>
      </c>
      <c r="H126" t="s">
        <v>10</v>
      </c>
      <c r="I126" t="s">
        <v>318</v>
      </c>
      <c r="J126" s="6">
        <f t="shared" si="8"/>
        <v>2025</v>
      </c>
      <c r="K126" t="str">
        <f t="shared" si="9"/>
        <v>Aug-2025</v>
      </c>
      <c r="L126" t="str">
        <f t="shared" si="10"/>
        <v>Mid-Age (41-60)</v>
      </c>
      <c r="M126" s="8">
        <f t="shared" si="11"/>
        <v>0</v>
      </c>
      <c r="N126" t="str">
        <f t="shared" si="12"/>
        <v>Normal</v>
      </c>
      <c r="O126" t="str">
        <f t="shared" si="13"/>
        <v>POL</v>
      </c>
      <c r="P126" t="str">
        <f t="shared" si="14"/>
        <v>PROPERTY</v>
      </c>
      <c r="Q126">
        <f t="shared" ca="1" si="15"/>
        <v>265</v>
      </c>
    </row>
    <row r="127" spans="1:17" ht="15" customHeight="1" x14ac:dyDescent="0.35">
      <c r="A127">
        <v>124</v>
      </c>
      <c r="B127" t="s">
        <v>147</v>
      </c>
      <c r="C127" s="3">
        <v>46002</v>
      </c>
      <c r="D127" t="s">
        <v>16</v>
      </c>
      <c r="E127" s="6">
        <v>39</v>
      </c>
      <c r="F127" s="7">
        <v>368.65</v>
      </c>
      <c r="G127" s="7">
        <v>0</v>
      </c>
      <c r="H127" t="s">
        <v>10</v>
      </c>
      <c r="I127" t="s">
        <v>318</v>
      </c>
      <c r="J127" s="6">
        <f t="shared" si="8"/>
        <v>2025</v>
      </c>
      <c r="K127" t="str">
        <f t="shared" si="9"/>
        <v>Dec-2025</v>
      </c>
      <c r="L127" t="str">
        <f t="shared" si="10"/>
        <v>Adult (25-40)</v>
      </c>
      <c r="M127" s="8">
        <f t="shared" si="11"/>
        <v>0</v>
      </c>
      <c r="N127" t="str">
        <f t="shared" si="12"/>
        <v>Normal</v>
      </c>
      <c r="O127" t="str">
        <f t="shared" si="13"/>
        <v>POL</v>
      </c>
      <c r="P127" t="str">
        <f t="shared" si="14"/>
        <v>PROPERTY</v>
      </c>
      <c r="Q127">
        <f t="shared" ca="1" si="15"/>
        <v>189</v>
      </c>
    </row>
    <row r="128" spans="1:17" ht="15" customHeight="1" x14ac:dyDescent="0.35">
      <c r="A128">
        <v>125</v>
      </c>
      <c r="B128" t="s">
        <v>148</v>
      </c>
      <c r="C128" s="3">
        <v>46011</v>
      </c>
      <c r="D128" t="s">
        <v>19</v>
      </c>
      <c r="E128" s="6">
        <v>79</v>
      </c>
      <c r="F128" s="7">
        <v>513.86</v>
      </c>
      <c r="G128" s="7">
        <v>0</v>
      </c>
      <c r="H128" t="s">
        <v>10</v>
      </c>
      <c r="I128" t="s">
        <v>322</v>
      </c>
      <c r="J128" s="6">
        <f t="shared" si="8"/>
        <v>2025</v>
      </c>
      <c r="K128" t="str">
        <f t="shared" si="9"/>
        <v>Dec-2025</v>
      </c>
      <c r="L128" t="str">
        <f t="shared" si="10"/>
        <v>Senior (60+)</v>
      </c>
      <c r="M128" s="8">
        <f t="shared" si="11"/>
        <v>0</v>
      </c>
      <c r="N128" t="str">
        <f t="shared" si="12"/>
        <v>Normal</v>
      </c>
      <c r="O128" t="str">
        <f t="shared" si="13"/>
        <v>POL</v>
      </c>
      <c r="P128" t="str">
        <f t="shared" si="14"/>
        <v>HEALTH</v>
      </c>
      <c r="Q128">
        <f t="shared" ca="1" si="15"/>
        <v>182</v>
      </c>
    </row>
    <row r="129" spans="1:17" ht="15" customHeight="1" x14ac:dyDescent="0.35">
      <c r="A129">
        <v>126</v>
      </c>
      <c r="B129" t="s">
        <v>149</v>
      </c>
      <c r="C129" s="3">
        <v>45910</v>
      </c>
      <c r="D129" t="s">
        <v>12</v>
      </c>
      <c r="E129" s="6">
        <v>18</v>
      </c>
      <c r="F129" s="7">
        <v>331.71</v>
      </c>
      <c r="G129" s="7">
        <v>448.98</v>
      </c>
      <c r="H129" t="s">
        <v>17</v>
      </c>
      <c r="I129" t="s">
        <v>318</v>
      </c>
      <c r="J129" s="6">
        <f t="shared" si="8"/>
        <v>2025</v>
      </c>
      <c r="K129" t="str">
        <f t="shared" si="9"/>
        <v>Sep-2025</v>
      </c>
      <c r="L129" t="str">
        <f t="shared" si="10"/>
        <v>Young (18-24)</v>
      </c>
      <c r="M129" s="8">
        <f t="shared" si="11"/>
        <v>1.35</v>
      </c>
      <c r="N129" t="str">
        <f t="shared" si="12"/>
        <v>Normal</v>
      </c>
      <c r="O129" t="str">
        <f t="shared" si="13"/>
        <v>POL</v>
      </c>
      <c r="P129" t="str">
        <f t="shared" si="14"/>
        <v>MOTOR</v>
      </c>
      <c r="Q129">
        <f t="shared" ca="1" si="15"/>
        <v>255</v>
      </c>
    </row>
    <row r="130" spans="1:17" ht="15" customHeight="1" x14ac:dyDescent="0.35">
      <c r="A130">
        <v>127</v>
      </c>
      <c r="B130" t="s">
        <v>150</v>
      </c>
      <c r="C130" s="3">
        <v>46193</v>
      </c>
      <c r="D130" t="s">
        <v>12</v>
      </c>
      <c r="E130" s="6">
        <v>23</v>
      </c>
      <c r="F130" s="7">
        <v>268.37</v>
      </c>
      <c r="G130" s="7">
        <v>1512.17</v>
      </c>
      <c r="H130" t="s">
        <v>30</v>
      </c>
      <c r="I130" t="s">
        <v>318</v>
      </c>
      <c r="J130" s="6">
        <f t="shared" si="8"/>
        <v>2026</v>
      </c>
      <c r="K130" t="str">
        <f t="shared" si="9"/>
        <v>Jun-2026</v>
      </c>
      <c r="L130" t="str">
        <f t="shared" si="10"/>
        <v>Young (18-24)</v>
      </c>
      <c r="M130" s="8">
        <f t="shared" si="11"/>
        <v>5.63</v>
      </c>
      <c r="N130" t="str">
        <f t="shared" si="12"/>
        <v>Normal</v>
      </c>
      <c r="O130" t="str">
        <f t="shared" si="13"/>
        <v>POL</v>
      </c>
      <c r="P130" t="str">
        <f t="shared" si="14"/>
        <v>MOTOR</v>
      </c>
      <c r="Q130">
        <f t="shared" ca="1" si="15"/>
        <v>52</v>
      </c>
    </row>
    <row r="131" spans="1:17" ht="15" customHeight="1" x14ac:dyDescent="0.35">
      <c r="A131">
        <v>128</v>
      </c>
      <c r="B131" t="s">
        <v>151</v>
      </c>
      <c r="C131" s="3">
        <v>46118</v>
      </c>
      <c r="D131" t="s">
        <v>19</v>
      </c>
      <c r="E131" s="6">
        <v>18</v>
      </c>
      <c r="F131" s="7">
        <v>341.88</v>
      </c>
      <c r="G131" s="7">
        <v>542.70000000000005</v>
      </c>
      <c r="H131" t="s">
        <v>13</v>
      </c>
      <c r="I131" t="s">
        <v>320</v>
      </c>
      <c r="J131" s="6">
        <f t="shared" si="8"/>
        <v>2026</v>
      </c>
      <c r="K131" t="str">
        <f t="shared" si="9"/>
        <v>Apr-2026</v>
      </c>
      <c r="L131" t="str">
        <f t="shared" si="10"/>
        <v>Young (18-24)</v>
      </c>
      <c r="M131" s="8">
        <f t="shared" si="11"/>
        <v>1.59</v>
      </c>
      <c r="N131" t="str">
        <f t="shared" si="12"/>
        <v>Needs Review</v>
      </c>
      <c r="O131" t="str">
        <f t="shared" si="13"/>
        <v>POL</v>
      </c>
      <c r="P131" t="str">
        <f t="shared" si="14"/>
        <v>HEALTH</v>
      </c>
      <c r="Q131">
        <f t="shared" ca="1" si="15"/>
        <v>107</v>
      </c>
    </row>
    <row r="132" spans="1:17" ht="15" customHeight="1" x14ac:dyDescent="0.35">
      <c r="A132">
        <v>129</v>
      </c>
      <c r="B132" t="s">
        <v>152</v>
      </c>
      <c r="C132" s="3">
        <v>46107</v>
      </c>
      <c r="D132" t="s">
        <v>16</v>
      </c>
      <c r="E132" s="6">
        <v>64</v>
      </c>
      <c r="F132" s="7">
        <v>378.39</v>
      </c>
      <c r="G132" s="7">
        <v>0</v>
      </c>
      <c r="H132" t="s">
        <v>10</v>
      </c>
      <c r="I132" t="s">
        <v>318</v>
      </c>
      <c r="J132" s="6">
        <f t="shared" ref="J132:J195" si="16">YEAR(C132)</f>
        <v>2026</v>
      </c>
      <c r="K132" t="str">
        <f t="shared" ref="K132:K195" si="17">TEXT(C132,"mmm-yyyy")</f>
        <v>Mar-2026</v>
      </c>
      <c r="L132" t="str">
        <f t="shared" ref="L132:L195" si="18">_xlfn.IFS(E132&lt;25,"Young (18-24)",E132&lt;=40,"Adult (25-40)",E132&lt;=60,"Mid-Age (41-60)",TRUE(),"Senior (60+)")</f>
        <v>Senior (60+)</v>
      </c>
      <c r="M132" s="8">
        <f t="shared" ref="M132:M195" si="19">IF(F132=0,0,ROUND(G132/F132,2))</f>
        <v>0</v>
      </c>
      <c r="N132" t="str">
        <f t="shared" ref="N132:N195" si="20">IF(AND(G132&gt;3000,H132="Approved"),"High-Value Approved",IF(OR(H132="Pending",H132="Unknown"),"Needs Review","Normal"))</f>
        <v>Normal</v>
      </c>
      <c r="O132" t="str">
        <f t="shared" ref="O132:O195" si="21">LEFT(B132,3)</f>
        <v>POL</v>
      </c>
      <c r="P132" t="str">
        <f t="shared" ref="P132:P195" si="22">UPPER(D132)</f>
        <v>PROPERTY</v>
      </c>
      <c r="Q132">
        <f t="shared" ref="Q132:Q195" ca="1" si="23">NETWORKDAYS(C132,TODAY())</f>
        <v>114</v>
      </c>
    </row>
    <row r="133" spans="1:17" ht="15" customHeight="1" x14ac:dyDescent="0.35">
      <c r="A133">
        <v>130</v>
      </c>
      <c r="B133" t="s">
        <v>153</v>
      </c>
      <c r="C133" s="3">
        <v>46129</v>
      </c>
      <c r="D133" t="s">
        <v>19</v>
      </c>
      <c r="E133" s="6">
        <v>40</v>
      </c>
      <c r="F133" s="7">
        <v>341.88</v>
      </c>
      <c r="G133" s="7">
        <v>0</v>
      </c>
      <c r="H133" t="s">
        <v>10</v>
      </c>
      <c r="I133" t="s">
        <v>320</v>
      </c>
      <c r="J133" s="6">
        <f t="shared" si="16"/>
        <v>2026</v>
      </c>
      <c r="K133" t="str">
        <f t="shared" si="17"/>
        <v>Apr-2026</v>
      </c>
      <c r="L133" t="str">
        <f t="shared" si="18"/>
        <v>Adult (25-40)</v>
      </c>
      <c r="M133" s="8">
        <f t="shared" si="19"/>
        <v>0</v>
      </c>
      <c r="N133" t="str">
        <f t="shared" si="20"/>
        <v>Normal</v>
      </c>
      <c r="O133" t="str">
        <f t="shared" si="21"/>
        <v>POL</v>
      </c>
      <c r="P133" t="str">
        <f t="shared" si="22"/>
        <v>HEALTH</v>
      </c>
      <c r="Q133">
        <f t="shared" ca="1" si="23"/>
        <v>98</v>
      </c>
    </row>
    <row r="134" spans="1:17" ht="15" customHeight="1" x14ac:dyDescent="0.35">
      <c r="A134">
        <v>131</v>
      </c>
      <c r="B134" t="s">
        <v>154</v>
      </c>
      <c r="C134" s="3">
        <v>45931</v>
      </c>
      <c r="D134" t="s">
        <v>12</v>
      </c>
      <c r="E134" s="6">
        <v>52</v>
      </c>
      <c r="F134" s="7">
        <v>294.49</v>
      </c>
      <c r="G134" s="7">
        <v>0</v>
      </c>
      <c r="H134" t="s">
        <v>10</v>
      </c>
      <c r="I134" t="s">
        <v>318</v>
      </c>
      <c r="J134" s="6">
        <f t="shared" si="16"/>
        <v>2025</v>
      </c>
      <c r="K134" t="str">
        <f t="shared" si="17"/>
        <v>Oct-2025</v>
      </c>
      <c r="L134" t="str">
        <f t="shared" si="18"/>
        <v>Mid-Age (41-60)</v>
      </c>
      <c r="M134" s="8">
        <f t="shared" si="19"/>
        <v>0</v>
      </c>
      <c r="N134" t="str">
        <f t="shared" si="20"/>
        <v>Normal</v>
      </c>
      <c r="O134" t="str">
        <f t="shared" si="21"/>
        <v>POL</v>
      </c>
      <c r="P134" t="str">
        <f t="shared" si="22"/>
        <v>MOTOR</v>
      </c>
      <c r="Q134">
        <f t="shared" ca="1" si="23"/>
        <v>240</v>
      </c>
    </row>
    <row r="135" spans="1:17" ht="15" customHeight="1" x14ac:dyDescent="0.35">
      <c r="A135">
        <v>132</v>
      </c>
      <c r="B135" t="s">
        <v>155</v>
      </c>
      <c r="C135" s="3">
        <v>45945</v>
      </c>
      <c r="D135" t="s">
        <v>9</v>
      </c>
      <c r="E135" s="6">
        <v>20</v>
      </c>
      <c r="F135" s="7">
        <v>395.82</v>
      </c>
      <c r="G135" s="7">
        <v>0</v>
      </c>
      <c r="H135" t="s">
        <v>10</v>
      </c>
      <c r="I135" t="s">
        <v>318</v>
      </c>
      <c r="J135" s="6">
        <f t="shared" si="16"/>
        <v>2025</v>
      </c>
      <c r="K135" t="str">
        <f t="shared" si="17"/>
        <v>Oct-2025</v>
      </c>
      <c r="L135" t="str">
        <f t="shared" si="18"/>
        <v>Young (18-24)</v>
      </c>
      <c r="M135" s="8">
        <f t="shared" si="19"/>
        <v>0</v>
      </c>
      <c r="N135" t="str">
        <f t="shared" si="20"/>
        <v>Normal</v>
      </c>
      <c r="O135" t="str">
        <f t="shared" si="21"/>
        <v>POL</v>
      </c>
      <c r="P135" t="str">
        <f t="shared" si="22"/>
        <v>LIFE</v>
      </c>
      <c r="Q135">
        <f t="shared" ca="1" si="23"/>
        <v>230</v>
      </c>
    </row>
    <row r="136" spans="1:17" ht="15" customHeight="1" x14ac:dyDescent="0.35">
      <c r="A136">
        <v>133</v>
      </c>
      <c r="B136" t="s">
        <v>156</v>
      </c>
      <c r="C136" s="3">
        <v>45943</v>
      </c>
      <c r="D136" t="s">
        <v>16</v>
      </c>
      <c r="E136" s="6">
        <v>53</v>
      </c>
      <c r="F136" s="7">
        <v>381.1</v>
      </c>
      <c r="G136" s="7">
        <v>1006.99</v>
      </c>
      <c r="H136" t="s">
        <v>17</v>
      </c>
      <c r="I136" t="s">
        <v>318</v>
      </c>
      <c r="J136" s="6">
        <f t="shared" si="16"/>
        <v>2025</v>
      </c>
      <c r="K136" t="str">
        <f t="shared" si="17"/>
        <v>Oct-2025</v>
      </c>
      <c r="L136" t="str">
        <f t="shared" si="18"/>
        <v>Mid-Age (41-60)</v>
      </c>
      <c r="M136" s="8">
        <f t="shared" si="19"/>
        <v>2.64</v>
      </c>
      <c r="N136" t="str">
        <f t="shared" si="20"/>
        <v>Normal</v>
      </c>
      <c r="O136" t="str">
        <f t="shared" si="21"/>
        <v>POL</v>
      </c>
      <c r="P136" t="str">
        <f t="shared" si="22"/>
        <v>PROPERTY</v>
      </c>
      <c r="Q136">
        <f t="shared" ca="1" si="23"/>
        <v>232</v>
      </c>
    </row>
    <row r="137" spans="1:17" ht="15" customHeight="1" x14ac:dyDescent="0.35">
      <c r="A137">
        <v>134</v>
      </c>
      <c r="B137" t="s">
        <v>157</v>
      </c>
      <c r="C137" s="3">
        <v>46037</v>
      </c>
      <c r="D137" t="s">
        <v>9</v>
      </c>
      <c r="E137" s="6">
        <v>41</v>
      </c>
      <c r="F137" s="7">
        <v>374.09</v>
      </c>
      <c r="G137" s="7">
        <v>0</v>
      </c>
      <c r="H137" t="s">
        <v>10</v>
      </c>
      <c r="I137" t="s">
        <v>318</v>
      </c>
      <c r="J137" s="6">
        <f t="shared" si="16"/>
        <v>2026</v>
      </c>
      <c r="K137" t="str">
        <f t="shared" si="17"/>
        <v>Jan-2026</v>
      </c>
      <c r="L137" t="str">
        <f t="shared" si="18"/>
        <v>Mid-Age (41-60)</v>
      </c>
      <c r="M137" s="8">
        <f t="shared" si="19"/>
        <v>0</v>
      </c>
      <c r="N137" t="str">
        <f t="shared" si="20"/>
        <v>Normal</v>
      </c>
      <c r="O137" t="str">
        <f t="shared" si="21"/>
        <v>POL</v>
      </c>
      <c r="P137" t="str">
        <f t="shared" si="22"/>
        <v>LIFE</v>
      </c>
      <c r="Q137">
        <f t="shared" ca="1" si="23"/>
        <v>164</v>
      </c>
    </row>
    <row r="138" spans="1:17" ht="15" customHeight="1" x14ac:dyDescent="0.35">
      <c r="A138">
        <v>135</v>
      </c>
      <c r="B138" t="s">
        <v>158</v>
      </c>
      <c r="C138" s="3">
        <v>45687</v>
      </c>
      <c r="D138" t="s">
        <v>19</v>
      </c>
      <c r="E138" s="6">
        <v>77</v>
      </c>
      <c r="F138" s="7">
        <v>287.27</v>
      </c>
      <c r="G138" s="7">
        <v>1715.65</v>
      </c>
      <c r="H138" t="s">
        <v>38</v>
      </c>
      <c r="I138" t="s">
        <v>321</v>
      </c>
      <c r="J138" s="6">
        <f t="shared" si="16"/>
        <v>2025</v>
      </c>
      <c r="K138" t="str">
        <f t="shared" si="17"/>
        <v>Jan-2025</v>
      </c>
      <c r="L138" t="str">
        <f t="shared" si="18"/>
        <v>Senior (60+)</v>
      </c>
      <c r="M138" s="8">
        <f t="shared" si="19"/>
        <v>5.97</v>
      </c>
      <c r="N138" t="str">
        <f t="shared" si="20"/>
        <v>Needs Review</v>
      </c>
      <c r="O138" t="str">
        <f t="shared" si="21"/>
        <v>POL</v>
      </c>
      <c r="P138" t="str">
        <f t="shared" si="22"/>
        <v>HEALTH</v>
      </c>
      <c r="Q138">
        <f t="shared" ca="1" si="23"/>
        <v>414</v>
      </c>
    </row>
    <row r="139" spans="1:17" ht="15" customHeight="1" x14ac:dyDescent="0.35">
      <c r="A139">
        <v>136</v>
      </c>
      <c r="B139" t="s">
        <v>159</v>
      </c>
      <c r="C139" s="3">
        <v>45993</v>
      </c>
      <c r="D139" t="s">
        <v>9</v>
      </c>
      <c r="E139" s="6">
        <v>47</v>
      </c>
      <c r="F139" s="7">
        <v>453.38</v>
      </c>
      <c r="G139" s="7">
        <v>0</v>
      </c>
      <c r="H139" t="s">
        <v>10</v>
      </c>
      <c r="I139" t="s">
        <v>318</v>
      </c>
      <c r="J139" s="6">
        <f t="shared" si="16"/>
        <v>2025</v>
      </c>
      <c r="K139" t="str">
        <f t="shared" si="17"/>
        <v>Dec-2025</v>
      </c>
      <c r="L139" t="str">
        <f t="shared" si="18"/>
        <v>Mid-Age (41-60)</v>
      </c>
      <c r="M139" s="8">
        <f t="shared" si="19"/>
        <v>0</v>
      </c>
      <c r="N139" t="str">
        <f t="shared" si="20"/>
        <v>Normal</v>
      </c>
      <c r="O139" t="str">
        <f t="shared" si="21"/>
        <v>POL</v>
      </c>
      <c r="P139" t="str">
        <f t="shared" si="22"/>
        <v>LIFE</v>
      </c>
      <c r="Q139">
        <f t="shared" ca="1" si="23"/>
        <v>196</v>
      </c>
    </row>
    <row r="140" spans="1:17" ht="15" customHeight="1" x14ac:dyDescent="0.35">
      <c r="A140">
        <v>137</v>
      </c>
      <c r="B140" t="s">
        <v>160</v>
      </c>
      <c r="C140" s="3">
        <v>45751</v>
      </c>
      <c r="D140" t="s">
        <v>40</v>
      </c>
      <c r="E140" s="6">
        <v>59</v>
      </c>
      <c r="F140" s="7">
        <v>97.75</v>
      </c>
      <c r="G140" s="7">
        <v>669.29</v>
      </c>
      <c r="H140" t="s">
        <v>30</v>
      </c>
      <c r="I140" t="s">
        <v>318</v>
      </c>
      <c r="J140" s="6">
        <f t="shared" si="16"/>
        <v>2025</v>
      </c>
      <c r="K140" t="str">
        <f t="shared" si="17"/>
        <v>Apr-2025</v>
      </c>
      <c r="L140" t="str">
        <f t="shared" si="18"/>
        <v>Mid-Age (41-60)</v>
      </c>
      <c r="M140" s="8">
        <f t="shared" si="19"/>
        <v>6.85</v>
      </c>
      <c r="N140" t="str">
        <f t="shared" si="20"/>
        <v>Normal</v>
      </c>
      <c r="O140" t="str">
        <f t="shared" si="21"/>
        <v>POL</v>
      </c>
      <c r="P140" t="str">
        <f t="shared" si="22"/>
        <v>TRAVEL</v>
      </c>
      <c r="Q140">
        <f t="shared" ca="1" si="23"/>
        <v>368</v>
      </c>
    </row>
    <row r="141" spans="1:17" ht="15" customHeight="1" x14ac:dyDescent="0.35">
      <c r="A141">
        <v>138</v>
      </c>
      <c r="B141" t="s">
        <v>161</v>
      </c>
      <c r="C141" s="3">
        <v>46226</v>
      </c>
      <c r="D141" t="s">
        <v>9</v>
      </c>
      <c r="E141" s="6">
        <v>39</v>
      </c>
      <c r="F141" s="7">
        <v>463.51</v>
      </c>
      <c r="G141" s="7">
        <v>0</v>
      </c>
      <c r="H141" t="s">
        <v>10</v>
      </c>
      <c r="I141" t="s">
        <v>318</v>
      </c>
      <c r="J141" s="6">
        <f t="shared" si="16"/>
        <v>2026</v>
      </c>
      <c r="K141" t="str">
        <f t="shared" si="17"/>
        <v>Jul-2026</v>
      </c>
      <c r="L141" t="str">
        <f t="shared" si="18"/>
        <v>Adult (25-40)</v>
      </c>
      <c r="M141" s="8">
        <f t="shared" si="19"/>
        <v>0</v>
      </c>
      <c r="N141" t="str">
        <f t="shared" si="20"/>
        <v>Normal</v>
      </c>
      <c r="O141" t="str">
        <f t="shared" si="21"/>
        <v>POL</v>
      </c>
      <c r="P141" t="str">
        <f t="shared" si="22"/>
        <v>LIFE</v>
      </c>
      <c r="Q141">
        <f t="shared" ca="1" si="23"/>
        <v>29</v>
      </c>
    </row>
    <row r="142" spans="1:17" ht="15" customHeight="1" x14ac:dyDescent="0.35">
      <c r="A142">
        <v>139</v>
      </c>
      <c r="B142" t="s">
        <v>162</v>
      </c>
      <c r="C142" s="3">
        <v>46119</v>
      </c>
      <c r="D142" t="s">
        <v>19</v>
      </c>
      <c r="E142" s="6">
        <v>48</v>
      </c>
      <c r="F142" s="7">
        <v>501.49</v>
      </c>
      <c r="G142" s="7">
        <v>1552.21</v>
      </c>
      <c r="H142" t="s">
        <v>17</v>
      </c>
      <c r="I142" t="s">
        <v>322</v>
      </c>
      <c r="J142" s="6">
        <f t="shared" si="16"/>
        <v>2026</v>
      </c>
      <c r="K142" t="str">
        <f t="shared" si="17"/>
        <v>Apr-2026</v>
      </c>
      <c r="L142" t="str">
        <f t="shared" si="18"/>
        <v>Mid-Age (41-60)</v>
      </c>
      <c r="M142" s="8">
        <f t="shared" si="19"/>
        <v>3.1</v>
      </c>
      <c r="N142" t="str">
        <f t="shared" si="20"/>
        <v>Normal</v>
      </c>
      <c r="O142" t="str">
        <f t="shared" si="21"/>
        <v>POL</v>
      </c>
      <c r="P142" t="str">
        <f t="shared" si="22"/>
        <v>HEALTH</v>
      </c>
      <c r="Q142">
        <f t="shared" ca="1" si="23"/>
        <v>106</v>
      </c>
    </row>
    <row r="143" spans="1:17" ht="15" customHeight="1" x14ac:dyDescent="0.35">
      <c r="A143">
        <v>140</v>
      </c>
      <c r="B143" t="s">
        <v>163</v>
      </c>
      <c r="C143" s="3">
        <v>45910</v>
      </c>
      <c r="D143" t="s">
        <v>19</v>
      </c>
      <c r="E143" s="6">
        <v>28</v>
      </c>
      <c r="F143" s="7">
        <v>309.01</v>
      </c>
      <c r="G143" s="7">
        <v>0</v>
      </c>
      <c r="H143" t="s">
        <v>10</v>
      </c>
      <c r="I143" t="s">
        <v>318</v>
      </c>
      <c r="J143" s="6">
        <f t="shared" si="16"/>
        <v>2025</v>
      </c>
      <c r="K143" t="str">
        <f t="shared" si="17"/>
        <v>Sep-2025</v>
      </c>
      <c r="L143" t="str">
        <f t="shared" si="18"/>
        <v>Adult (25-40)</v>
      </c>
      <c r="M143" s="8">
        <f t="shared" si="19"/>
        <v>0</v>
      </c>
      <c r="N143" t="str">
        <f t="shared" si="20"/>
        <v>Normal</v>
      </c>
      <c r="O143" t="str">
        <f t="shared" si="21"/>
        <v>POL</v>
      </c>
      <c r="P143" t="str">
        <f t="shared" si="22"/>
        <v>HEALTH</v>
      </c>
      <c r="Q143">
        <f t="shared" ca="1" si="23"/>
        <v>255</v>
      </c>
    </row>
    <row r="144" spans="1:17" ht="15" customHeight="1" x14ac:dyDescent="0.35">
      <c r="A144">
        <v>141</v>
      </c>
      <c r="B144" t="s">
        <v>164</v>
      </c>
      <c r="C144" s="3">
        <v>45841</v>
      </c>
      <c r="D144" t="s">
        <v>40</v>
      </c>
      <c r="E144" s="6">
        <v>58</v>
      </c>
      <c r="F144" s="7">
        <v>98.24</v>
      </c>
      <c r="G144" s="7">
        <v>675.1</v>
      </c>
      <c r="H144" t="s">
        <v>30</v>
      </c>
      <c r="I144" t="s">
        <v>318</v>
      </c>
      <c r="J144" s="6">
        <f t="shared" si="16"/>
        <v>2025</v>
      </c>
      <c r="K144" t="str">
        <f t="shared" si="17"/>
        <v>Jul-2025</v>
      </c>
      <c r="L144" t="str">
        <f t="shared" si="18"/>
        <v>Mid-Age (41-60)</v>
      </c>
      <c r="M144" s="8">
        <f t="shared" si="19"/>
        <v>6.87</v>
      </c>
      <c r="N144" t="str">
        <f t="shared" si="20"/>
        <v>Normal</v>
      </c>
      <c r="O144" t="str">
        <f t="shared" si="21"/>
        <v>POL</v>
      </c>
      <c r="P144" t="str">
        <f t="shared" si="22"/>
        <v>TRAVEL</v>
      </c>
      <c r="Q144">
        <f t="shared" ca="1" si="23"/>
        <v>304</v>
      </c>
    </row>
    <row r="145" spans="1:17" ht="15" customHeight="1" x14ac:dyDescent="0.35">
      <c r="A145">
        <v>142</v>
      </c>
      <c r="B145" t="s">
        <v>165</v>
      </c>
      <c r="C145" s="3">
        <v>45962</v>
      </c>
      <c r="D145" t="s">
        <v>16</v>
      </c>
      <c r="E145" s="6">
        <v>41</v>
      </c>
      <c r="F145" s="7">
        <v>418.22</v>
      </c>
      <c r="G145" s="7">
        <v>1790.48</v>
      </c>
      <c r="H145" t="s">
        <v>17</v>
      </c>
      <c r="I145" t="s">
        <v>318</v>
      </c>
      <c r="J145" s="6">
        <f t="shared" si="16"/>
        <v>2025</v>
      </c>
      <c r="K145" t="str">
        <f t="shared" si="17"/>
        <v>Nov-2025</v>
      </c>
      <c r="L145" t="str">
        <f t="shared" si="18"/>
        <v>Mid-Age (41-60)</v>
      </c>
      <c r="M145" s="8">
        <f t="shared" si="19"/>
        <v>4.28</v>
      </c>
      <c r="N145" t="str">
        <f t="shared" si="20"/>
        <v>Normal</v>
      </c>
      <c r="O145" t="str">
        <f t="shared" si="21"/>
        <v>POL</v>
      </c>
      <c r="P145" t="str">
        <f t="shared" si="22"/>
        <v>PROPERTY</v>
      </c>
      <c r="Q145">
        <f t="shared" ca="1" si="23"/>
        <v>217</v>
      </c>
    </row>
    <row r="146" spans="1:17" ht="15" customHeight="1" x14ac:dyDescent="0.35">
      <c r="A146">
        <v>143</v>
      </c>
      <c r="B146" t="s">
        <v>166</v>
      </c>
      <c r="C146" s="3">
        <v>45957</v>
      </c>
      <c r="D146" t="s">
        <v>12</v>
      </c>
      <c r="E146" s="6">
        <v>34</v>
      </c>
      <c r="F146" s="7">
        <v>349.84</v>
      </c>
      <c r="G146" s="7">
        <v>1646.56</v>
      </c>
      <c r="H146" t="s">
        <v>13</v>
      </c>
      <c r="I146" t="s">
        <v>317</v>
      </c>
      <c r="J146" s="6">
        <f t="shared" si="16"/>
        <v>2025</v>
      </c>
      <c r="K146" t="str">
        <f t="shared" si="17"/>
        <v>Oct-2025</v>
      </c>
      <c r="L146" t="str">
        <f t="shared" si="18"/>
        <v>Adult (25-40)</v>
      </c>
      <c r="M146" s="8">
        <f t="shared" si="19"/>
        <v>4.71</v>
      </c>
      <c r="N146" t="str">
        <f t="shared" si="20"/>
        <v>Needs Review</v>
      </c>
      <c r="O146" t="str">
        <f t="shared" si="21"/>
        <v>POL</v>
      </c>
      <c r="P146" t="str">
        <f t="shared" si="22"/>
        <v>MOTOR</v>
      </c>
      <c r="Q146">
        <f t="shared" ca="1" si="23"/>
        <v>222</v>
      </c>
    </row>
    <row r="147" spans="1:17" ht="15" customHeight="1" x14ac:dyDescent="0.35">
      <c r="A147">
        <v>144</v>
      </c>
      <c r="B147" t="s">
        <v>167</v>
      </c>
      <c r="C147" s="3">
        <v>45770</v>
      </c>
      <c r="D147" t="s">
        <v>9</v>
      </c>
      <c r="E147" s="6">
        <v>18</v>
      </c>
      <c r="F147" s="7">
        <v>387.77</v>
      </c>
      <c r="G147" s="7">
        <v>3835.86</v>
      </c>
      <c r="H147" t="s">
        <v>17</v>
      </c>
      <c r="I147" t="s">
        <v>318</v>
      </c>
      <c r="J147" s="6">
        <f t="shared" si="16"/>
        <v>2025</v>
      </c>
      <c r="K147" t="str">
        <f t="shared" si="17"/>
        <v>Apr-2025</v>
      </c>
      <c r="L147" t="str">
        <f t="shared" si="18"/>
        <v>Young (18-24)</v>
      </c>
      <c r="M147" s="8">
        <f t="shared" si="19"/>
        <v>9.89</v>
      </c>
      <c r="N147" t="str">
        <f t="shared" si="20"/>
        <v>High-Value Approved</v>
      </c>
      <c r="O147" t="str">
        <f t="shared" si="21"/>
        <v>POL</v>
      </c>
      <c r="P147" t="str">
        <f t="shared" si="22"/>
        <v>LIFE</v>
      </c>
      <c r="Q147">
        <f t="shared" ca="1" si="23"/>
        <v>355</v>
      </c>
    </row>
    <row r="148" spans="1:17" ht="15" customHeight="1" x14ac:dyDescent="0.35">
      <c r="A148">
        <v>145</v>
      </c>
      <c r="B148" t="s">
        <v>168</v>
      </c>
      <c r="C148" s="3">
        <v>45661</v>
      </c>
      <c r="D148" t="s">
        <v>19</v>
      </c>
      <c r="E148" s="6">
        <v>24</v>
      </c>
      <c r="F148" s="7">
        <v>295.64999999999998</v>
      </c>
      <c r="G148" s="7">
        <v>0</v>
      </c>
      <c r="H148" t="s">
        <v>10</v>
      </c>
      <c r="I148" t="s">
        <v>318</v>
      </c>
      <c r="J148" s="6">
        <f t="shared" si="16"/>
        <v>2025</v>
      </c>
      <c r="K148" t="str">
        <f t="shared" si="17"/>
        <v>Jan-2025</v>
      </c>
      <c r="L148" t="str">
        <f t="shared" si="18"/>
        <v>Young (18-24)</v>
      </c>
      <c r="M148" s="8">
        <f t="shared" si="19"/>
        <v>0</v>
      </c>
      <c r="N148" t="str">
        <f t="shared" si="20"/>
        <v>Normal</v>
      </c>
      <c r="O148" t="str">
        <f t="shared" si="21"/>
        <v>POL</v>
      </c>
      <c r="P148" t="str">
        <f t="shared" si="22"/>
        <v>HEALTH</v>
      </c>
      <c r="Q148">
        <f t="shared" ca="1" si="23"/>
        <v>432</v>
      </c>
    </row>
    <row r="149" spans="1:17" ht="15" customHeight="1" x14ac:dyDescent="0.35">
      <c r="A149">
        <v>146</v>
      </c>
      <c r="B149" t="s">
        <v>169</v>
      </c>
      <c r="C149" s="3">
        <v>45939</v>
      </c>
      <c r="D149" t="s">
        <v>40</v>
      </c>
      <c r="E149" s="6">
        <v>78</v>
      </c>
      <c r="F149" s="7">
        <v>119.44</v>
      </c>
      <c r="G149" s="7">
        <v>1032.98</v>
      </c>
      <c r="H149" t="s">
        <v>17</v>
      </c>
      <c r="I149" t="s">
        <v>316</v>
      </c>
      <c r="J149" s="6">
        <f t="shared" si="16"/>
        <v>2025</v>
      </c>
      <c r="K149" t="str">
        <f t="shared" si="17"/>
        <v>Oct-2025</v>
      </c>
      <c r="L149" t="str">
        <f t="shared" si="18"/>
        <v>Senior (60+)</v>
      </c>
      <c r="M149" s="8">
        <f t="shared" si="19"/>
        <v>8.65</v>
      </c>
      <c r="N149" t="str">
        <f t="shared" si="20"/>
        <v>Normal</v>
      </c>
      <c r="O149" t="str">
        <f t="shared" si="21"/>
        <v>POL</v>
      </c>
      <c r="P149" t="str">
        <f t="shared" si="22"/>
        <v>TRAVEL</v>
      </c>
      <c r="Q149">
        <f t="shared" ca="1" si="23"/>
        <v>234</v>
      </c>
    </row>
    <row r="150" spans="1:17" ht="15" customHeight="1" x14ac:dyDescent="0.35">
      <c r="A150">
        <v>147</v>
      </c>
      <c r="B150" t="s">
        <v>170</v>
      </c>
      <c r="C150" s="3">
        <v>45889</v>
      </c>
      <c r="D150" t="s">
        <v>19</v>
      </c>
      <c r="E150" s="6">
        <v>79</v>
      </c>
      <c r="F150" s="7">
        <v>301.41000000000003</v>
      </c>
      <c r="G150" s="7">
        <v>0</v>
      </c>
      <c r="H150" t="s">
        <v>10</v>
      </c>
      <c r="I150" t="s">
        <v>318</v>
      </c>
      <c r="J150" s="6">
        <f t="shared" si="16"/>
        <v>2025</v>
      </c>
      <c r="K150" t="str">
        <f t="shared" si="17"/>
        <v>Aug-2025</v>
      </c>
      <c r="L150" t="str">
        <f t="shared" si="18"/>
        <v>Senior (60+)</v>
      </c>
      <c r="M150" s="8">
        <f t="shared" si="19"/>
        <v>0</v>
      </c>
      <c r="N150" t="str">
        <f t="shared" si="20"/>
        <v>Normal</v>
      </c>
      <c r="O150" t="str">
        <f t="shared" si="21"/>
        <v>POL</v>
      </c>
      <c r="P150" t="str">
        <f t="shared" si="22"/>
        <v>HEALTH</v>
      </c>
      <c r="Q150">
        <f t="shared" ca="1" si="23"/>
        <v>270</v>
      </c>
    </row>
    <row r="151" spans="1:17" ht="15" customHeight="1" x14ac:dyDescent="0.35">
      <c r="A151">
        <v>148</v>
      </c>
      <c r="B151" t="s">
        <v>171</v>
      </c>
      <c r="C151" s="3">
        <v>45698</v>
      </c>
      <c r="D151" t="s">
        <v>16</v>
      </c>
      <c r="E151" s="6">
        <v>29</v>
      </c>
      <c r="F151" s="7">
        <v>440.94</v>
      </c>
      <c r="G151" s="7">
        <v>4841.1099999999997</v>
      </c>
      <c r="H151" t="s">
        <v>17</v>
      </c>
      <c r="I151" t="s">
        <v>318</v>
      </c>
      <c r="J151" s="6">
        <f t="shared" si="16"/>
        <v>2025</v>
      </c>
      <c r="K151" t="str">
        <f t="shared" si="17"/>
        <v>Feb-2025</v>
      </c>
      <c r="L151" t="str">
        <f t="shared" si="18"/>
        <v>Adult (25-40)</v>
      </c>
      <c r="M151" s="8">
        <f t="shared" si="19"/>
        <v>10.98</v>
      </c>
      <c r="N151" t="str">
        <f t="shared" si="20"/>
        <v>High-Value Approved</v>
      </c>
      <c r="O151" t="str">
        <f t="shared" si="21"/>
        <v>POL</v>
      </c>
      <c r="P151" t="str">
        <f t="shared" si="22"/>
        <v>PROPERTY</v>
      </c>
      <c r="Q151">
        <f t="shared" ca="1" si="23"/>
        <v>407</v>
      </c>
    </row>
    <row r="152" spans="1:17" ht="15" customHeight="1" x14ac:dyDescent="0.35">
      <c r="A152">
        <v>149</v>
      </c>
      <c r="B152" t="s">
        <v>172</v>
      </c>
      <c r="C152" s="3">
        <v>45984</v>
      </c>
      <c r="D152" t="s">
        <v>12</v>
      </c>
      <c r="E152" s="6">
        <v>45</v>
      </c>
      <c r="F152" s="7">
        <v>360.25</v>
      </c>
      <c r="G152" s="7">
        <v>2486.61</v>
      </c>
      <c r="H152" t="s">
        <v>13</v>
      </c>
      <c r="I152" t="s">
        <v>318</v>
      </c>
      <c r="J152" s="6">
        <f t="shared" si="16"/>
        <v>2025</v>
      </c>
      <c r="K152" t="str">
        <f t="shared" si="17"/>
        <v>Nov-2025</v>
      </c>
      <c r="L152" t="str">
        <f t="shared" si="18"/>
        <v>Mid-Age (41-60)</v>
      </c>
      <c r="M152" s="8">
        <f t="shared" si="19"/>
        <v>6.9</v>
      </c>
      <c r="N152" t="str">
        <f t="shared" si="20"/>
        <v>Needs Review</v>
      </c>
      <c r="O152" t="str">
        <f t="shared" si="21"/>
        <v>POL</v>
      </c>
      <c r="P152" t="str">
        <f t="shared" si="22"/>
        <v>MOTOR</v>
      </c>
      <c r="Q152">
        <f t="shared" ca="1" si="23"/>
        <v>202</v>
      </c>
    </row>
    <row r="153" spans="1:17" ht="15" customHeight="1" x14ac:dyDescent="0.35">
      <c r="A153">
        <v>150</v>
      </c>
      <c r="B153" t="s">
        <v>173</v>
      </c>
      <c r="C153" s="3">
        <v>45998</v>
      </c>
      <c r="D153" t="s">
        <v>12</v>
      </c>
      <c r="E153" s="6">
        <v>59</v>
      </c>
      <c r="F153" s="7">
        <v>327.44</v>
      </c>
      <c r="G153" s="7">
        <v>0</v>
      </c>
      <c r="H153" t="s">
        <v>10</v>
      </c>
      <c r="I153" t="s">
        <v>318</v>
      </c>
      <c r="J153" s="6">
        <f t="shared" si="16"/>
        <v>2025</v>
      </c>
      <c r="K153" t="str">
        <f t="shared" si="17"/>
        <v>Dec-2025</v>
      </c>
      <c r="L153" t="str">
        <f t="shared" si="18"/>
        <v>Mid-Age (41-60)</v>
      </c>
      <c r="M153" s="8">
        <f t="shared" si="19"/>
        <v>0</v>
      </c>
      <c r="N153" t="str">
        <f t="shared" si="20"/>
        <v>Normal</v>
      </c>
      <c r="O153" t="str">
        <f t="shared" si="21"/>
        <v>POL</v>
      </c>
      <c r="P153" t="str">
        <f t="shared" si="22"/>
        <v>MOTOR</v>
      </c>
      <c r="Q153">
        <f t="shared" ca="1" si="23"/>
        <v>192</v>
      </c>
    </row>
    <row r="154" spans="1:17" ht="15" customHeight="1" x14ac:dyDescent="0.35">
      <c r="A154">
        <v>151</v>
      </c>
      <c r="B154" t="s">
        <v>174</v>
      </c>
      <c r="C154" s="3">
        <v>45738</v>
      </c>
      <c r="D154" t="s">
        <v>19</v>
      </c>
      <c r="E154" s="6">
        <v>32</v>
      </c>
      <c r="F154" s="7">
        <v>403.35</v>
      </c>
      <c r="G154" s="7">
        <v>2599.36</v>
      </c>
      <c r="H154" t="s">
        <v>30</v>
      </c>
      <c r="I154" t="s">
        <v>322</v>
      </c>
      <c r="J154" s="6">
        <f t="shared" si="16"/>
        <v>2025</v>
      </c>
      <c r="K154" t="str">
        <f t="shared" si="17"/>
        <v>Mar-2025</v>
      </c>
      <c r="L154" t="str">
        <f t="shared" si="18"/>
        <v>Adult (25-40)</v>
      </c>
      <c r="M154" s="8">
        <f t="shared" si="19"/>
        <v>6.44</v>
      </c>
      <c r="N154" t="str">
        <f t="shared" si="20"/>
        <v>Normal</v>
      </c>
      <c r="O154" t="str">
        <f t="shared" si="21"/>
        <v>POL</v>
      </c>
      <c r="P154" t="str">
        <f t="shared" si="22"/>
        <v>HEALTH</v>
      </c>
      <c r="Q154">
        <f t="shared" ca="1" si="23"/>
        <v>377</v>
      </c>
    </row>
    <row r="155" spans="1:17" ht="15" customHeight="1" x14ac:dyDescent="0.35">
      <c r="A155">
        <v>152</v>
      </c>
      <c r="B155" t="s">
        <v>175</v>
      </c>
      <c r="C155" s="3">
        <v>45718</v>
      </c>
      <c r="D155" t="s">
        <v>12</v>
      </c>
      <c r="E155" s="6">
        <v>44</v>
      </c>
      <c r="F155" s="7">
        <v>340.69</v>
      </c>
      <c r="G155" s="7">
        <v>0</v>
      </c>
      <c r="H155" t="s">
        <v>10</v>
      </c>
      <c r="I155" t="s">
        <v>318</v>
      </c>
      <c r="J155" s="6">
        <f t="shared" si="16"/>
        <v>2025</v>
      </c>
      <c r="K155" t="str">
        <f t="shared" si="17"/>
        <v>Mar-2025</v>
      </c>
      <c r="L155" t="str">
        <f t="shared" si="18"/>
        <v>Mid-Age (41-60)</v>
      </c>
      <c r="M155" s="8">
        <f t="shared" si="19"/>
        <v>0</v>
      </c>
      <c r="N155" t="str">
        <f t="shared" si="20"/>
        <v>Normal</v>
      </c>
      <c r="O155" t="str">
        <f t="shared" si="21"/>
        <v>POL</v>
      </c>
      <c r="P155" t="str">
        <f t="shared" si="22"/>
        <v>MOTOR</v>
      </c>
      <c r="Q155">
        <f t="shared" ca="1" si="23"/>
        <v>392</v>
      </c>
    </row>
    <row r="156" spans="1:17" ht="15" customHeight="1" x14ac:dyDescent="0.35">
      <c r="A156">
        <v>153</v>
      </c>
      <c r="B156" t="s">
        <v>176</v>
      </c>
      <c r="C156" s="3">
        <v>45853</v>
      </c>
      <c r="D156" t="s">
        <v>12</v>
      </c>
      <c r="E156" s="6">
        <v>78</v>
      </c>
      <c r="F156" s="7">
        <v>255.77</v>
      </c>
      <c r="G156" s="7">
        <v>1447.69</v>
      </c>
      <c r="H156" t="s">
        <v>13</v>
      </c>
      <c r="I156" t="s">
        <v>318</v>
      </c>
      <c r="J156" s="6">
        <f t="shared" si="16"/>
        <v>2025</v>
      </c>
      <c r="K156" t="str">
        <f t="shared" si="17"/>
        <v>Jul-2025</v>
      </c>
      <c r="L156" t="str">
        <f t="shared" si="18"/>
        <v>Senior (60+)</v>
      </c>
      <c r="M156" s="8">
        <f t="shared" si="19"/>
        <v>5.66</v>
      </c>
      <c r="N156" t="str">
        <f t="shared" si="20"/>
        <v>Needs Review</v>
      </c>
      <c r="O156" t="str">
        <f t="shared" si="21"/>
        <v>POL</v>
      </c>
      <c r="P156" t="str">
        <f t="shared" si="22"/>
        <v>MOTOR</v>
      </c>
      <c r="Q156">
        <f t="shared" ca="1" si="23"/>
        <v>296</v>
      </c>
    </row>
    <row r="157" spans="1:17" ht="15" customHeight="1" x14ac:dyDescent="0.35">
      <c r="A157">
        <v>154</v>
      </c>
      <c r="B157" t="s">
        <v>177</v>
      </c>
      <c r="C157" s="3">
        <v>45924</v>
      </c>
      <c r="D157" t="s">
        <v>19</v>
      </c>
      <c r="E157" s="6">
        <v>46</v>
      </c>
      <c r="F157" s="7">
        <v>387.42</v>
      </c>
      <c r="G157" s="7">
        <v>748.91</v>
      </c>
      <c r="H157" t="s">
        <v>30</v>
      </c>
      <c r="I157" t="s">
        <v>319</v>
      </c>
      <c r="J157" s="6">
        <f t="shared" si="16"/>
        <v>2025</v>
      </c>
      <c r="K157" t="str">
        <f t="shared" si="17"/>
        <v>Sep-2025</v>
      </c>
      <c r="L157" t="str">
        <f t="shared" si="18"/>
        <v>Mid-Age (41-60)</v>
      </c>
      <c r="M157" s="8">
        <f t="shared" si="19"/>
        <v>1.93</v>
      </c>
      <c r="N157" t="str">
        <f t="shared" si="20"/>
        <v>Normal</v>
      </c>
      <c r="O157" t="str">
        <f t="shared" si="21"/>
        <v>POL</v>
      </c>
      <c r="P157" t="str">
        <f t="shared" si="22"/>
        <v>HEALTH</v>
      </c>
      <c r="Q157">
        <f t="shared" ca="1" si="23"/>
        <v>245</v>
      </c>
    </row>
    <row r="158" spans="1:17" ht="15" customHeight="1" x14ac:dyDescent="0.35">
      <c r="A158">
        <v>155</v>
      </c>
      <c r="B158" t="s">
        <v>178</v>
      </c>
      <c r="C158" s="3">
        <v>46113</v>
      </c>
      <c r="D158" t="s">
        <v>12</v>
      </c>
      <c r="E158" s="6">
        <v>75</v>
      </c>
      <c r="F158" s="7">
        <v>284.74</v>
      </c>
      <c r="G158" s="7">
        <v>0</v>
      </c>
      <c r="H158" t="s">
        <v>10</v>
      </c>
      <c r="I158" t="s">
        <v>318</v>
      </c>
      <c r="J158" s="6">
        <f t="shared" si="16"/>
        <v>2026</v>
      </c>
      <c r="K158" t="str">
        <f t="shared" si="17"/>
        <v>Apr-2026</v>
      </c>
      <c r="L158" t="str">
        <f t="shared" si="18"/>
        <v>Senior (60+)</v>
      </c>
      <c r="M158" s="8">
        <f t="shared" si="19"/>
        <v>0</v>
      </c>
      <c r="N158" t="str">
        <f t="shared" si="20"/>
        <v>Normal</v>
      </c>
      <c r="O158" t="str">
        <f t="shared" si="21"/>
        <v>POL</v>
      </c>
      <c r="P158" t="str">
        <f t="shared" si="22"/>
        <v>MOTOR</v>
      </c>
      <c r="Q158">
        <f t="shared" ca="1" si="23"/>
        <v>110</v>
      </c>
    </row>
    <row r="159" spans="1:17" ht="15" customHeight="1" x14ac:dyDescent="0.35">
      <c r="A159">
        <v>156</v>
      </c>
      <c r="B159" t="s">
        <v>179</v>
      </c>
      <c r="C159" s="3">
        <v>46193</v>
      </c>
      <c r="D159" t="s">
        <v>19</v>
      </c>
      <c r="E159" s="6">
        <v>46</v>
      </c>
      <c r="F159" s="7">
        <v>443.15</v>
      </c>
      <c r="G159" s="7">
        <v>0</v>
      </c>
      <c r="H159" t="s">
        <v>10</v>
      </c>
      <c r="I159" t="s">
        <v>319</v>
      </c>
      <c r="J159" s="6">
        <f t="shared" si="16"/>
        <v>2026</v>
      </c>
      <c r="K159" t="str">
        <f t="shared" si="17"/>
        <v>Jun-2026</v>
      </c>
      <c r="L159" t="str">
        <f t="shared" si="18"/>
        <v>Mid-Age (41-60)</v>
      </c>
      <c r="M159" s="8">
        <f t="shared" si="19"/>
        <v>0</v>
      </c>
      <c r="N159" t="str">
        <f t="shared" si="20"/>
        <v>Normal</v>
      </c>
      <c r="O159" t="str">
        <f t="shared" si="21"/>
        <v>POL</v>
      </c>
      <c r="P159" t="str">
        <f t="shared" si="22"/>
        <v>HEALTH</v>
      </c>
      <c r="Q159">
        <f t="shared" ca="1" si="23"/>
        <v>52</v>
      </c>
    </row>
    <row r="160" spans="1:17" ht="15" customHeight="1" x14ac:dyDescent="0.35">
      <c r="A160">
        <v>157</v>
      </c>
      <c r="B160" t="s">
        <v>180</v>
      </c>
      <c r="C160" s="3">
        <v>45841</v>
      </c>
      <c r="D160" t="s">
        <v>19</v>
      </c>
      <c r="E160" s="6">
        <v>71</v>
      </c>
      <c r="F160" s="7">
        <v>264.81</v>
      </c>
      <c r="G160" s="7">
        <v>420.7</v>
      </c>
      <c r="H160" t="s">
        <v>17</v>
      </c>
      <c r="I160" t="s">
        <v>318</v>
      </c>
      <c r="J160" s="6">
        <f t="shared" si="16"/>
        <v>2025</v>
      </c>
      <c r="K160" t="str">
        <f t="shared" si="17"/>
        <v>Jul-2025</v>
      </c>
      <c r="L160" t="str">
        <f t="shared" si="18"/>
        <v>Senior (60+)</v>
      </c>
      <c r="M160" s="8">
        <f t="shared" si="19"/>
        <v>1.59</v>
      </c>
      <c r="N160" t="str">
        <f t="shared" si="20"/>
        <v>Normal</v>
      </c>
      <c r="O160" t="str">
        <f t="shared" si="21"/>
        <v>POL</v>
      </c>
      <c r="P160" t="str">
        <f t="shared" si="22"/>
        <v>HEALTH</v>
      </c>
      <c r="Q160">
        <f t="shared" ca="1" si="23"/>
        <v>304</v>
      </c>
    </row>
    <row r="161" spans="1:17" ht="15" customHeight="1" x14ac:dyDescent="0.35">
      <c r="A161">
        <v>158</v>
      </c>
      <c r="B161" t="s">
        <v>181</v>
      </c>
      <c r="C161" s="3">
        <v>46141</v>
      </c>
      <c r="D161" t="s">
        <v>19</v>
      </c>
      <c r="E161" s="6">
        <v>60</v>
      </c>
      <c r="F161" s="7">
        <v>292.08</v>
      </c>
      <c r="G161" s="7">
        <v>0</v>
      </c>
      <c r="H161" t="s">
        <v>10</v>
      </c>
      <c r="I161" t="s">
        <v>318</v>
      </c>
      <c r="J161" s="6">
        <f t="shared" si="16"/>
        <v>2026</v>
      </c>
      <c r="K161" t="str">
        <f t="shared" si="17"/>
        <v>Apr-2026</v>
      </c>
      <c r="L161" t="str">
        <f t="shared" si="18"/>
        <v>Mid-Age (41-60)</v>
      </c>
      <c r="M161" s="8">
        <f t="shared" si="19"/>
        <v>0</v>
      </c>
      <c r="N161" t="str">
        <f t="shared" si="20"/>
        <v>Normal</v>
      </c>
      <c r="O161" t="str">
        <f t="shared" si="21"/>
        <v>POL</v>
      </c>
      <c r="P161" t="str">
        <f t="shared" si="22"/>
        <v>HEALTH</v>
      </c>
      <c r="Q161">
        <f t="shared" ca="1" si="23"/>
        <v>90</v>
      </c>
    </row>
    <row r="162" spans="1:17" ht="15" customHeight="1" x14ac:dyDescent="0.35">
      <c r="A162">
        <v>159</v>
      </c>
      <c r="B162" t="s">
        <v>182</v>
      </c>
      <c r="C162" s="3">
        <v>45820</v>
      </c>
      <c r="D162" t="s">
        <v>19</v>
      </c>
      <c r="E162" s="6">
        <v>23</v>
      </c>
      <c r="F162" s="7">
        <v>327.37</v>
      </c>
      <c r="G162" s="7">
        <v>2174.35</v>
      </c>
      <c r="H162" t="s">
        <v>13</v>
      </c>
      <c r="I162" t="s">
        <v>318</v>
      </c>
      <c r="J162" s="6">
        <f t="shared" si="16"/>
        <v>2025</v>
      </c>
      <c r="K162" t="str">
        <f t="shared" si="17"/>
        <v>Jun-2025</v>
      </c>
      <c r="L162" t="str">
        <f t="shared" si="18"/>
        <v>Young (18-24)</v>
      </c>
      <c r="M162" s="8">
        <f t="shared" si="19"/>
        <v>6.64</v>
      </c>
      <c r="N162" t="str">
        <f t="shared" si="20"/>
        <v>Needs Review</v>
      </c>
      <c r="O162" t="str">
        <f t="shared" si="21"/>
        <v>POL</v>
      </c>
      <c r="P162" t="str">
        <f t="shared" si="22"/>
        <v>HEALTH</v>
      </c>
      <c r="Q162">
        <f t="shared" ca="1" si="23"/>
        <v>319</v>
      </c>
    </row>
    <row r="163" spans="1:17" ht="15" customHeight="1" x14ac:dyDescent="0.35">
      <c r="A163">
        <v>160</v>
      </c>
      <c r="B163" t="s">
        <v>183</v>
      </c>
      <c r="C163" s="3">
        <v>45874</v>
      </c>
      <c r="D163" t="s">
        <v>16</v>
      </c>
      <c r="E163" s="6">
        <v>40</v>
      </c>
      <c r="F163" s="7">
        <v>336.95</v>
      </c>
      <c r="G163" s="7">
        <v>0</v>
      </c>
      <c r="H163" t="s">
        <v>10</v>
      </c>
      <c r="I163" t="s">
        <v>318</v>
      </c>
      <c r="J163" s="6">
        <f t="shared" si="16"/>
        <v>2025</v>
      </c>
      <c r="K163" t="str">
        <f t="shared" si="17"/>
        <v>Aug-2025</v>
      </c>
      <c r="L163" t="str">
        <f t="shared" si="18"/>
        <v>Adult (25-40)</v>
      </c>
      <c r="M163" s="8">
        <f t="shared" si="19"/>
        <v>0</v>
      </c>
      <c r="N163" t="str">
        <f t="shared" si="20"/>
        <v>Normal</v>
      </c>
      <c r="O163" t="str">
        <f t="shared" si="21"/>
        <v>POL</v>
      </c>
      <c r="P163" t="str">
        <f t="shared" si="22"/>
        <v>PROPERTY</v>
      </c>
      <c r="Q163">
        <f t="shared" ca="1" si="23"/>
        <v>281</v>
      </c>
    </row>
    <row r="164" spans="1:17" ht="15" customHeight="1" x14ac:dyDescent="0.35">
      <c r="A164">
        <v>161</v>
      </c>
      <c r="B164" t="s">
        <v>184</v>
      </c>
      <c r="C164" s="3">
        <v>45939</v>
      </c>
      <c r="D164" t="s">
        <v>19</v>
      </c>
      <c r="E164" s="6">
        <v>22</v>
      </c>
      <c r="F164" s="7">
        <v>382.99</v>
      </c>
      <c r="G164" s="7">
        <v>0</v>
      </c>
      <c r="H164" t="s">
        <v>10</v>
      </c>
      <c r="I164" t="s">
        <v>316</v>
      </c>
      <c r="J164" s="6">
        <f t="shared" si="16"/>
        <v>2025</v>
      </c>
      <c r="K164" t="str">
        <f t="shared" si="17"/>
        <v>Oct-2025</v>
      </c>
      <c r="L164" t="str">
        <f t="shared" si="18"/>
        <v>Young (18-24)</v>
      </c>
      <c r="M164" s="8">
        <f t="shared" si="19"/>
        <v>0</v>
      </c>
      <c r="N164" t="str">
        <f t="shared" si="20"/>
        <v>Normal</v>
      </c>
      <c r="O164" t="str">
        <f t="shared" si="21"/>
        <v>POL</v>
      </c>
      <c r="P164" t="str">
        <f t="shared" si="22"/>
        <v>HEALTH</v>
      </c>
      <c r="Q164">
        <f t="shared" ca="1" si="23"/>
        <v>234</v>
      </c>
    </row>
    <row r="165" spans="1:17" ht="15" customHeight="1" x14ac:dyDescent="0.35">
      <c r="A165">
        <v>162</v>
      </c>
      <c r="B165" t="s">
        <v>185</v>
      </c>
      <c r="C165" s="3">
        <v>45744</v>
      </c>
      <c r="D165" t="s">
        <v>19</v>
      </c>
      <c r="E165" s="6">
        <v>26</v>
      </c>
      <c r="F165" s="7">
        <v>341.88</v>
      </c>
      <c r="G165" s="7">
        <v>2964.27</v>
      </c>
      <c r="H165" t="s">
        <v>30</v>
      </c>
      <c r="I165" t="s">
        <v>320</v>
      </c>
      <c r="J165" s="6">
        <f t="shared" si="16"/>
        <v>2025</v>
      </c>
      <c r="K165" t="str">
        <f t="shared" si="17"/>
        <v>Mar-2025</v>
      </c>
      <c r="L165" t="str">
        <f t="shared" si="18"/>
        <v>Adult (25-40)</v>
      </c>
      <c r="M165" s="8">
        <f t="shared" si="19"/>
        <v>8.67</v>
      </c>
      <c r="N165" t="str">
        <f t="shared" si="20"/>
        <v>Normal</v>
      </c>
      <c r="O165" t="str">
        <f t="shared" si="21"/>
        <v>POL</v>
      </c>
      <c r="P165" t="str">
        <f t="shared" si="22"/>
        <v>HEALTH</v>
      </c>
      <c r="Q165">
        <f t="shared" ca="1" si="23"/>
        <v>373</v>
      </c>
    </row>
    <row r="166" spans="1:17" ht="15" customHeight="1" x14ac:dyDescent="0.35">
      <c r="A166">
        <v>163</v>
      </c>
      <c r="B166" t="s">
        <v>186</v>
      </c>
      <c r="C166" s="3">
        <v>46210</v>
      </c>
      <c r="D166" t="s">
        <v>9</v>
      </c>
      <c r="E166" s="6">
        <v>52</v>
      </c>
      <c r="F166" s="7">
        <v>311.76</v>
      </c>
      <c r="G166" s="7">
        <v>3597.64</v>
      </c>
      <c r="H166" t="s">
        <v>30</v>
      </c>
      <c r="I166" t="s">
        <v>318</v>
      </c>
      <c r="J166" s="6">
        <f t="shared" si="16"/>
        <v>2026</v>
      </c>
      <c r="K166" t="str">
        <f t="shared" si="17"/>
        <v>Jul-2026</v>
      </c>
      <c r="L166" t="str">
        <f t="shared" si="18"/>
        <v>Mid-Age (41-60)</v>
      </c>
      <c r="M166" s="8">
        <f t="shared" si="19"/>
        <v>11.54</v>
      </c>
      <c r="N166" t="str">
        <f t="shared" si="20"/>
        <v>Normal</v>
      </c>
      <c r="O166" t="str">
        <f t="shared" si="21"/>
        <v>POL</v>
      </c>
      <c r="P166" t="str">
        <f t="shared" si="22"/>
        <v>LIFE</v>
      </c>
      <c r="Q166">
        <f t="shared" ca="1" si="23"/>
        <v>41</v>
      </c>
    </row>
    <row r="167" spans="1:17" ht="15" customHeight="1" x14ac:dyDescent="0.35">
      <c r="A167">
        <v>164</v>
      </c>
      <c r="B167" t="s">
        <v>187</v>
      </c>
      <c r="C167" s="3">
        <v>45983</v>
      </c>
      <c r="D167" t="s">
        <v>19</v>
      </c>
      <c r="E167" s="6">
        <v>35</v>
      </c>
      <c r="F167" s="7">
        <v>419</v>
      </c>
      <c r="G167" s="7">
        <v>1833.43</v>
      </c>
      <c r="H167" t="s">
        <v>17</v>
      </c>
      <c r="I167" t="s">
        <v>322</v>
      </c>
      <c r="J167" s="6">
        <f t="shared" si="16"/>
        <v>2025</v>
      </c>
      <c r="K167" t="str">
        <f t="shared" si="17"/>
        <v>Nov-2025</v>
      </c>
      <c r="L167" t="str">
        <f t="shared" si="18"/>
        <v>Adult (25-40)</v>
      </c>
      <c r="M167" s="8">
        <f t="shared" si="19"/>
        <v>4.38</v>
      </c>
      <c r="N167" t="str">
        <f t="shared" si="20"/>
        <v>Normal</v>
      </c>
      <c r="O167" t="str">
        <f t="shared" si="21"/>
        <v>POL</v>
      </c>
      <c r="P167" t="str">
        <f t="shared" si="22"/>
        <v>HEALTH</v>
      </c>
      <c r="Q167">
        <f t="shared" ca="1" si="23"/>
        <v>202</v>
      </c>
    </row>
    <row r="168" spans="1:17" ht="15" customHeight="1" x14ac:dyDescent="0.35">
      <c r="A168">
        <v>165</v>
      </c>
      <c r="B168" t="s">
        <v>188</v>
      </c>
      <c r="C168" s="3">
        <v>45945</v>
      </c>
      <c r="D168" t="s">
        <v>19</v>
      </c>
      <c r="E168" s="6">
        <v>76</v>
      </c>
      <c r="F168" s="7">
        <v>280.19</v>
      </c>
      <c r="G168" s="7">
        <v>1984.79</v>
      </c>
      <c r="H168" t="s">
        <v>30</v>
      </c>
      <c r="I168" t="s">
        <v>317</v>
      </c>
      <c r="J168" s="6">
        <f t="shared" si="16"/>
        <v>2025</v>
      </c>
      <c r="K168" t="str">
        <f t="shared" si="17"/>
        <v>Oct-2025</v>
      </c>
      <c r="L168" t="str">
        <f t="shared" si="18"/>
        <v>Senior (60+)</v>
      </c>
      <c r="M168" s="8">
        <f t="shared" si="19"/>
        <v>7.08</v>
      </c>
      <c r="N168" t="str">
        <f t="shared" si="20"/>
        <v>Normal</v>
      </c>
      <c r="O168" t="str">
        <f t="shared" si="21"/>
        <v>POL</v>
      </c>
      <c r="P168" t="str">
        <f t="shared" si="22"/>
        <v>HEALTH</v>
      </c>
      <c r="Q168">
        <f t="shared" ca="1" si="23"/>
        <v>230</v>
      </c>
    </row>
    <row r="169" spans="1:17" ht="15" customHeight="1" x14ac:dyDescent="0.35">
      <c r="A169">
        <v>166</v>
      </c>
      <c r="B169" t="s">
        <v>189</v>
      </c>
      <c r="C169" s="3">
        <v>45861</v>
      </c>
      <c r="D169" t="s">
        <v>16</v>
      </c>
      <c r="E169" s="6">
        <v>44</v>
      </c>
      <c r="F169" s="7">
        <v>362.72</v>
      </c>
      <c r="G169" s="7">
        <v>0</v>
      </c>
      <c r="H169" t="s">
        <v>10</v>
      </c>
      <c r="I169" t="s">
        <v>318</v>
      </c>
      <c r="J169" s="6">
        <f t="shared" si="16"/>
        <v>2025</v>
      </c>
      <c r="K169" t="str">
        <f t="shared" si="17"/>
        <v>Jul-2025</v>
      </c>
      <c r="L169" t="str">
        <f t="shared" si="18"/>
        <v>Mid-Age (41-60)</v>
      </c>
      <c r="M169" s="8">
        <f t="shared" si="19"/>
        <v>0</v>
      </c>
      <c r="N169" t="str">
        <f t="shared" si="20"/>
        <v>Normal</v>
      </c>
      <c r="O169" t="str">
        <f t="shared" si="21"/>
        <v>POL</v>
      </c>
      <c r="P169" t="str">
        <f t="shared" si="22"/>
        <v>PROPERTY</v>
      </c>
      <c r="Q169">
        <f t="shared" ca="1" si="23"/>
        <v>290</v>
      </c>
    </row>
    <row r="170" spans="1:17" ht="15" customHeight="1" x14ac:dyDescent="0.35">
      <c r="A170">
        <v>167</v>
      </c>
      <c r="B170" t="s">
        <v>190</v>
      </c>
      <c r="C170" s="3">
        <v>45862</v>
      </c>
      <c r="D170" t="s">
        <v>12</v>
      </c>
      <c r="E170" s="6">
        <v>47</v>
      </c>
      <c r="F170" s="7">
        <v>257.37</v>
      </c>
      <c r="G170" s="7">
        <v>608.33000000000004</v>
      </c>
      <c r="H170" t="s">
        <v>13</v>
      </c>
      <c r="I170" t="s">
        <v>319</v>
      </c>
      <c r="J170" s="6">
        <f t="shared" si="16"/>
        <v>2025</v>
      </c>
      <c r="K170" t="str">
        <f t="shared" si="17"/>
        <v>Jul-2025</v>
      </c>
      <c r="L170" t="str">
        <f t="shared" si="18"/>
        <v>Mid-Age (41-60)</v>
      </c>
      <c r="M170" s="8">
        <f t="shared" si="19"/>
        <v>2.36</v>
      </c>
      <c r="N170" t="str">
        <f t="shared" si="20"/>
        <v>Needs Review</v>
      </c>
      <c r="O170" t="str">
        <f t="shared" si="21"/>
        <v>POL</v>
      </c>
      <c r="P170" t="str">
        <f t="shared" si="22"/>
        <v>MOTOR</v>
      </c>
      <c r="Q170">
        <f t="shared" ca="1" si="23"/>
        <v>289</v>
      </c>
    </row>
    <row r="171" spans="1:17" ht="15" customHeight="1" x14ac:dyDescent="0.35">
      <c r="A171">
        <v>168</v>
      </c>
      <c r="B171" t="s">
        <v>191</v>
      </c>
      <c r="C171" s="3">
        <v>45723</v>
      </c>
      <c r="D171" t="s">
        <v>16</v>
      </c>
      <c r="E171" s="6">
        <v>43</v>
      </c>
      <c r="F171" s="7">
        <v>505.54</v>
      </c>
      <c r="G171" s="7">
        <v>4108.95</v>
      </c>
      <c r="H171" t="s">
        <v>17</v>
      </c>
      <c r="I171" t="s">
        <v>318</v>
      </c>
      <c r="J171" s="6">
        <f t="shared" si="16"/>
        <v>2025</v>
      </c>
      <c r="K171" t="str">
        <f t="shared" si="17"/>
        <v>Mar-2025</v>
      </c>
      <c r="L171" t="str">
        <f t="shared" si="18"/>
        <v>Mid-Age (41-60)</v>
      </c>
      <c r="M171" s="8">
        <f t="shared" si="19"/>
        <v>8.1300000000000008</v>
      </c>
      <c r="N171" t="str">
        <f t="shared" si="20"/>
        <v>High-Value Approved</v>
      </c>
      <c r="O171" t="str">
        <f t="shared" si="21"/>
        <v>POL</v>
      </c>
      <c r="P171" t="str">
        <f t="shared" si="22"/>
        <v>PROPERTY</v>
      </c>
      <c r="Q171">
        <f t="shared" ca="1" si="23"/>
        <v>388</v>
      </c>
    </row>
    <row r="172" spans="1:17" ht="15" customHeight="1" x14ac:dyDescent="0.35">
      <c r="A172">
        <v>169</v>
      </c>
      <c r="B172" t="s">
        <v>192</v>
      </c>
      <c r="C172" s="3">
        <v>45814</v>
      </c>
      <c r="D172" t="s">
        <v>19</v>
      </c>
      <c r="E172" s="6">
        <v>47</v>
      </c>
      <c r="F172" s="7">
        <v>290.25</v>
      </c>
      <c r="G172" s="7">
        <v>0</v>
      </c>
      <c r="H172" t="s">
        <v>10</v>
      </c>
      <c r="I172" t="s">
        <v>318</v>
      </c>
      <c r="J172" s="6">
        <f t="shared" si="16"/>
        <v>2025</v>
      </c>
      <c r="K172" t="str">
        <f t="shared" si="17"/>
        <v>Jun-2025</v>
      </c>
      <c r="L172" t="str">
        <f t="shared" si="18"/>
        <v>Mid-Age (41-60)</v>
      </c>
      <c r="M172" s="8">
        <f t="shared" si="19"/>
        <v>0</v>
      </c>
      <c r="N172" t="str">
        <f t="shared" si="20"/>
        <v>Normal</v>
      </c>
      <c r="O172" t="str">
        <f t="shared" si="21"/>
        <v>POL</v>
      </c>
      <c r="P172" t="str">
        <f t="shared" si="22"/>
        <v>HEALTH</v>
      </c>
      <c r="Q172">
        <f t="shared" ca="1" si="23"/>
        <v>323</v>
      </c>
    </row>
    <row r="173" spans="1:17" ht="15" customHeight="1" x14ac:dyDescent="0.35">
      <c r="A173">
        <v>170</v>
      </c>
      <c r="B173" t="s">
        <v>193</v>
      </c>
      <c r="C173" s="3">
        <v>46178</v>
      </c>
      <c r="D173" t="s">
        <v>9</v>
      </c>
      <c r="E173" s="6">
        <v>45</v>
      </c>
      <c r="F173" s="7">
        <v>516.1</v>
      </c>
      <c r="G173" s="7">
        <v>3377.55</v>
      </c>
      <c r="H173" t="s">
        <v>17</v>
      </c>
      <c r="I173" t="s">
        <v>319</v>
      </c>
      <c r="J173" s="6">
        <f t="shared" si="16"/>
        <v>2026</v>
      </c>
      <c r="K173" t="str">
        <f t="shared" si="17"/>
        <v>Jun-2026</v>
      </c>
      <c r="L173" t="str">
        <f t="shared" si="18"/>
        <v>Mid-Age (41-60)</v>
      </c>
      <c r="M173" s="8">
        <f t="shared" si="19"/>
        <v>6.54</v>
      </c>
      <c r="N173" t="str">
        <f t="shared" si="20"/>
        <v>High-Value Approved</v>
      </c>
      <c r="O173" t="str">
        <f t="shared" si="21"/>
        <v>POL</v>
      </c>
      <c r="P173" t="str">
        <f t="shared" si="22"/>
        <v>LIFE</v>
      </c>
      <c r="Q173">
        <f t="shared" ca="1" si="23"/>
        <v>63</v>
      </c>
    </row>
    <row r="174" spans="1:17" ht="15" customHeight="1" x14ac:dyDescent="0.35">
      <c r="A174">
        <v>171</v>
      </c>
      <c r="B174" t="s">
        <v>194</v>
      </c>
      <c r="C174" s="3">
        <v>46048</v>
      </c>
      <c r="D174" t="s">
        <v>9</v>
      </c>
      <c r="E174" s="6">
        <v>66</v>
      </c>
      <c r="F174" s="7">
        <v>477.41</v>
      </c>
      <c r="G174" s="7">
        <v>0</v>
      </c>
      <c r="H174" t="s">
        <v>10</v>
      </c>
      <c r="I174" t="s">
        <v>318</v>
      </c>
      <c r="J174" s="6">
        <f t="shared" si="16"/>
        <v>2026</v>
      </c>
      <c r="K174" t="str">
        <f t="shared" si="17"/>
        <v>Jan-2026</v>
      </c>
      <c r="L174" t="str">
        <f t="shared" si="18"/>
        <v>Senior (60+)</v>
      </c>
      <c r="M174" s="8">
        <f t="shared" si="19"/>
        <v>0</v>
      </c>
      <c r="N174" t="str">
        <f t="shared" si="20"/>
        <v>Normal</v>
      </c>
      <c r="O174" t="str">
        <f t="shared" si="21"/>
        <v>POL</v>
      </c>
      <c r="P174" t="str">
        <f t="shared" si="22"/>
        <v>LIFE</v>
      </c>
      <c r="Q174">
        <f t="shared" ca="1" si="23"/>
        <v>157</v>
      </c>
    </row>
    <row r="175" spans="1:17" ht="15" customHeight="1" x14ac:dyDescent="0.35">
      <c r="A175">
        <v>172</v>
      </c>
      <c r="B175" t="s">
        <v>195</v>
      </c>
      <c r="C175" s="3">
        <v>46113</v>
      </c>
      <c r="D175" t="s">
        <v>12</v>
      </c>
      <c r="E175" s="6">
        <v>57</v>
      </c>
      <c r="F175" s="7">
        <v>359.69</v>
      </c>
      <c r="G175" s="7">
        <v>287.33</v>
      </c>
      <c r="H175" t="s">
        <v>17</v>
      </c>
      <c r="I175" t="s">
        <v>318</v>
      </c>
      <c r="J175" s="6">
        <f t="shared" si="16"/>
        <v>2026</v>
      </c>
      <c r="K175" t="str">
        <f t="shared" si="17"/>
        <v>Apr-2026</v>
      </c>
      <c r="L175" t="str">
        <f t="shared" si="18"/>
        <v>Mid-Age (41-60)</v>
      </c>
      <c r="M175" s="8">
        <f t="shared" si="19"/>
        <v>0.8</v>
      </c>
      <c r="N175" t="str">
        <f t="shared" si="20"/>
        <v>Normal</v>
      </c>
      <c r="O175" t="str">
        <f t="shared" si="21"/>
        <v>POL</v>
      </c>
      <c r="P175" t="str">
        <f t="shared" si="22"/>
        <v>MOTOR</v>
      </c>
      <c r="Q175">
        <f t="shared" ca="1" si="23"/>
        <v>110</v>
      </c>
    </row>
    <row r="176" spans="1:17" ht="15" customHeight="1" x14ac:dyDescent="0.35">
      <c r="A176">
        <v>173</v>
      </c>
      <c r="B176" t="s">
        <v>196</v>
      </c>
      <c r="C176" s="3">
        <v>45662</v>
      </c>
      <c r="D176" t="s">
        <v>9</v>
      </c>
      <c r="E176" s="6">
        <v>18</v>
      </c>
      <c r="F176" s="7">
        <v>449.77</v>
      </c>
      <c r="G176" s="7">
        <v>0</v>
      </c>
      <c r="H176" t="s">
        <v>10</v>
      </c>
      <c r="I176" t="s">
        <v>318</v>
      </c>
      <c r="J176" s="6">
        <f t="shared" si="16"/>
        <v>2025</v>
      </c>
      <c r="K176" t="str">
        <f t="shared" si="17"/>
        <v>Jan-2025</v>
      </c>
      <c r="L176" t="str">
        <f t="shared" si="18"/>
        <v>Young (18-24)</v>
      </c>
      <c r="M176" s="8">
        <f t="shared" si="19"/>
        <v>0</v>
      </c>
      <c r="N176" t="str">
        <f t="shared" si="20"/>
        <v>Normal</v>
      </c>
      <c r="O176" t="str">
        <f t="shared" si="21"/>
        <v>POL</v>
      </c>
      <c r="P176" t="str">
        <f t="shared" si="22"/>
        <v>LIFE</v>
      </c>
      <c r="Q176">
        <f t="shared" ca="1" si="23"/>
        <v>432</v>
      </c>
    </row>
    <row r="177" spans="1:17" ht="15" customHeight="1" x14ac:dyDescent="0.35">
      <c r="A177">
        <v>174</v>
      </c>
      <c r="B177" t="s">
        <v>197</v>
      </c>
      <c r="C177" s="3">
        <v>45964</v>
      </c>
      <c r="D177" t="s">
        <v>19</v>
      </c>
      <c r="E177" s="6">
        <v>18</v>
      </c>
      <c r="F177" s="7">
        <v>389.95</v>
      </c>
      <c r="G177" s="7">
        <v>1630.84</v>
      </c>
      <c r="H177" t="s">
        <v>17</v>
      </c>
      <c r="I177" t="s">
        <v>318</v>
      </c>
      <c r="J177" s="6">
        <f t="shared" si="16"/>
        <v>2025</v>
      </c>
      <c r="K177" t="str">
        <f t="shared" si="17"/>
        <v>Nov-2025</v>
      </c>
      <c r="L177" t="str">
        <f t="shared" si="18"/>
        <v>Young (18-24)</v>
      </c>
      <c r="M177" s="8">
        <f t="shared" si="19"/>
        <v>4.18</v>
      </c>
      <c r="N177" t="str">
        <f t="shared" si="20"/>
        <v>Normal</v>
      </c>
      <c r="O177" t="str">
        <f t="shared" si="21"/>
        <v>POL</v>
      </c>
      <c r="P177" t="str">
        <f t="shared" si="22"/>
        <v>HEALTH</v>
      </c>
      <c r="Q177">
        <f t="shared" ca="1" si="23"/>
        <v>217</v>
      </c>
    </row>
    <row r="178" spans="1:17" ht="15" customHeight="1" x14ac:dyDescent="0.35">
      <c r="A178">
        <v>175</v>
      </c>
      <c r="B178" t="s">
        <v>198</v>
      </c>
      <c r="C178" s="3">
        <v>45785</v>
      </c>
      <c r="D178" t="s">
        <v>19</v>
      </c>
      <c r="E178" s="6">
        <v>22</v>
      </c>
      <c r="F178" s="7">
        <v>341.88</v>
      </c>
      <c r="G178" s="7">
        <v>0</v>
      </c>
      <c r="H178" t="s">
        <v>10</v>
      </c>
      <c r="I178" t="s">
        <v>320</v>
      </c>
      <c r="J178" s="6">
        <f t="shared" si="16"/>
        <v>2025</v>
      </c>
      <c r="K178" t="str">
        <f t="shared" si="17"/>
        <v>May-2025</v>
      </c>
      <c r="L178" t="str">
        <f t="shared" si="18"/>
        <v>Young (18-24)</v>
      </c>
      <c r="M178" s="8">
        <f t="shared" si="19"/>
        <v>0</v>
      </c>
      <c r="N178" t="str">
        <f t="shared" si="20"/>
        <v>Normal</v>
      </c>
      <c r="O178" t="str">
        <f t="shared" si="21"/>
        <v>POL</v>
      </c>
      <c r="P178" t="str">
        <f t="shared" si="22"/>
        <v>HEALTH</v>
      </c>
      <c r="Q178">
        <f t="shared" ca="1" si="23"/>
        <v>344</v>
      </c>
    </row>
    <row r="179" spans="1:17" ht="15" customHeight="1" x14ac:dyDescent="0.35">
      <c r="A179">
        <v>176</v>
      </c>
      <c r="B179" t="s">
        <v>199</v>
      </c>
      <c r="C179" s="3">
        <v>46099</v>
      </c>
      <c r="D179" t="s">
        <v>19</v>
      </c>
      <c r="E179" s="6">
        <v>56</v>
      </c>
      <c r="F179" s="7">
        <v>482.25</v>
      </c>
      <c r="G179" s="7">
        <v>1504.8</v>
      </c>
      <c r="H179" t="s">
        <v>13</v>
      </c>
      <c r="I179" t="s">
        <v>322</v>
      </c>
      <c r="J179" s="6">
        <f t="shared" si="16"/>
        <v>2026</v>
      </c>
      <c r="K179" t="str">
        <f t="shared" si="17"/>
        <v>Mar-2026</v>
      </c>
      <c r="L179" t="str">
        <f t="shared" si="18"/>
        <v>Mid-Age (41-60)</v>
      </c>
      <c r="M179" s="8">
        <f t="shared" si="19"/>
        <v>3.12</v>
      </c>
      <c r="N179" t="str">
        <f t="shared" si="20"/>
        <v>Needs Review</v>
      </c>
      <c r="O179" t="str">
        <f t="shared" si="21"/>
        <v>POL</v>
      </c>
      <c r="P179" t="str">
        <f t="shared" si="22"/>
        <v>HEALTH</v>
      </c>
      <c r="Q179">
        <f t="shared" ca="1" si="23"/>
        <v>120</v>
      </c>
    </row>
    <row r="180" spans="1:17" ht="15" customHeight="1" x14ac:dyDescent="0.35">
      <c r="A180">
        <v>177</v>
      </c>
      <c r="B180" t="s">
        <v>200</v>
      </c>
      <c r="C180" s="3">
        <v>45806</v>
      </c>
      <c r="D180" t="s">
        <v>19</v>
      </c>
      <c r="E180" s="6">
        <v>59</v>
      </c>
      <c r="F180" s="7">
        <v>250.19</v>
      </c>
      <c r="G180" s="7">
        <v>0</v>
      </c>
      <c r="H180" t="s">
        <v>10</v>
      </c>
      <c r="I180" t="s">
        <v>322</v>
      </c>
      <c r="J180" s="6">
        <f t="shared" si="16"/>
        <v>2025</v>
      </c>
      <c r="K180" t="str">
        <f t="shared" si="17"/>
        <v>May-2025</v>
      </c>
      <c r="L180" t="str">
        <f t="shared" si="18"/>
        <v>Mid-Age (41-60)</v>
      </c>
      <c r="M180" s="8">
        <f t="shared" si="19"/>
        <v>0</v>
      </c>
      <c r="N180" t="str">
        <f t="shared" si="20"/>
        <v>Normal</v>
      </c>
      <c r="O180" t="str">
        <f t="shared" si="21"/>
        <v>POL</v>
      </c>
      <c r="P180" t="str">
        <f t="shared" si="22"/>
        <v>HEALTH</v>
      </c>
      <c r="Q180">
        <f t="shared" ca="1" si="23"/>
        <v>329</v>
      </c>
    </row>
    <row r="181" spans="1:17" ht="15" customHeight="1" x14ac:dyDescent="0.35">
      <c r="A181">
        <v>178</v>
      </c>
      <c r="B181" t="s">
        <v>201</v>
      </c>
      <c r="C181" s="3">
        <v>46184</v>
      </c>
      <c r="D181" t="s">
        <v>12</v>
      </c>
      <c r="E181" s="6">
        <v>58</v>
      </c>
      <c r="F181" s="7">
        <v>362.9</v>
      </c>
      <c r="G181" s="7">
        <v>1646.56</v>
      </c>
      <c r="H181" t="s">
        <v>30</v>
      </c>
      <c r="I181" t="s">
        <v>317</v>
      </c>
      <c r="J181" s="6">
        <f t="shared" si="16"/>
        <v>2026</v>
      </c>
      <c r="K181" t="str">
        <f t="shared" si="17"/>
        <v>Jun-2026</v>
      </c>
      <c r="L181" t="str">
        <f t="shared" si="18"/>
        <v>Mid-Age (41-60)</v>
      </c>
      <c r="M181" s="8">
        <f t="shared" si="19"/>
        <v>4.54</v>
      </c>
      <c r="N181" t="str">
        <f t="shared" si="20"/>
        <v>Normal</v>
      </c>
      <c r="O181" t="str">
        <f t="shared" si="21"/>
        <v>POL</v>
      </c>
      <c r="P181" t="str">
        <f t="shared" si="22"/>
        <v>MOTOR</v>
      </c>
      <c r="Q181">
        <f t="shared" ca="1" si="23"/>
        <v>59</v>
      </c>
    </row>
    <row r="182" spans="1:17" ht="15" customHeight="1" x14ac:dyDescent="0.35">
      <c r="A182">
        <v>179</v>
      </c>
      <c r="B182" t="s">
        <v>202</v>
      </c>
      <c r="C182" s="3">
        <v>46145</v>
      </c>
      <c r="D182" t="s">
        <v>19</v>
      </c>
      <c r="E182" s="6">
        <v>44</v>
      </c>
      <c r="F182" s="7">
        <v>335.29</v>
      </c>
      <c r="G182" s="7">
        <v>0</v>
      </c>
      <c r="H182" t="s">
        <v>10</v>
      </c>
      <c r="I182" t="s">
        <v>318</v>
      </c>
      <c r="J182" s="6">
        <f t="shared" si="16"/>
        <v>2026</v>
      </c>
      <c r="K182" t="str">
        <f t="shared" si="17"/>
        <v>May-2026</v>
      </c>
      <c r="L182" t="str">
        <f t="shared" si="18"/>
        <v>Mid-Age (41-60)</v>
      </c>
      <c r="M182" s="8">
        <f t="shared" si="19"/>
        <v>0</v>
      </c>
      <c r="N182" t="str">
        <f t="shared" si="20"/>
        <v>Normal</v>
      </c>
      <c r="O182" t="str">
        <f t="shared" si="21"/>
        <v>POL</v>
      </c>
      <c r="P182" t="str">
        <f t="shared" si="22"/>
        <v>HEALTH</v>
      </c>
      <c r="Q182">
        <f t="shared" ca="1" si="23"/>
        <v>87</v>
      </c>
    </row>
    <row r="183" spans="1:17" ht="15" customHeight="1" x14ac:dyDescent="0.35">
      <c r="A183">
        <v>180</v>
      </c>
      <c r="B183" t="s">
        <v>203</v>
      </c>
      <c r="C183" s="3">
        <v>45688</v>
      </c>
      <c r="D183" t="s">
        <v>40</v>
      </c>
      <c r="E183" s="6">
        <v>30</v>
      </c>
      <c r="F183" s="7">
        <v>101.66</v>
      </c>
      <c r="G183" s="7">
        <v>0</v>
      </c>
      <c r="H183" t="s">
        <v>10</v>
      </c>
      <c r="I183" t="s">
        <v>318</v>
      </c>
      <c r="J183" s="6">
        <f t="shared" si="16"/>
        <v>2025</v>
      </c>
      <c r="K183" t="str">
        <f t="shared" si="17"/>
        <v>Jan-2025</v>
      </c>
      <c r="L183" t="str">
        <f t="shared" si="18"/>
        <v>Adult (25-40)</v>
      </c>
      <c r="M183" s="8">
        <f t="shared" si="19"/>
        <v>0</v>
      </c>
      <c r="N183" t="str">
        <f t="shared" si="20"/>
        <v>Normal</v>
      </c>
      <c r="O183" t="str">
        <f t="shared" si="21"/>
        <v>POL</v>
      </c>
      <c r="P183" t="str">
        <f t="shared" si="22"/>
        <v>TRAVEL</v>
      </c>
      <c r="Q183">
        <f t="shared" ca="1" si="23"/>
        <v>413</v>
      </c>
    </row>
    <row r="184" spans="1:17" ht="15" customHeight="1" x14ac:dyDescent="0.35">
      <c r="A184">
        <v>181</v>
      </c>
      <c r="B184" t="s">
        <v>204</v>
      </c>
      <c r="C184" s="3">
        <v>46081</v>
      </c>
      <c r="D184" t="s">
        <v>12</v>
      </c>
      <c r="E184" s="6">
        <v>79</v>
      </c>
      <c r="F184" s="7">
        <v>324.16000000000003</v>
      </c>
      <c r="G184" s="7">
        <v>597.52</v>
      </c>
      <c r="H184" t="s">
        <v>13</v>
      </c>
      <c r="I184" t="s">
        <v>318</v>
      </c>
      <c r="J184" s="6">
        <f t="shared" si="16"/>
        <v>2026</v>
      </c>
      <c r="K184" t="str">
        <f t="shared" si="17"/>
        <v>Feb-2026</v>
      </c>
      <c r="L184" t="str">
        <f t="shared" si="18"/>
        <v>Senior (60+)</v>
      </c>
      <c r="M184" s="8">
        <f t="shared" si="19"/>
        <v>1.84</v>
      </c>
      <c r="N184" t="str">
        <f t="shared" si="20"/>
        <v>Needs Review</v>
      </c>
      <c r="O184" t="str">
        <f t="shared" si="21"/>
        <v>POL</v>
      </c>
      <c r="P184" t="str">
        <f t="shared" si="22"/>
        <v>MOTOR</v>
      </c>
      <c r="Q184">
        <f t="shared" ca="1" si="23"/>
        <v>132</v>
      </c>
    </row>
    <row r="185" spans="1:17" ht="15" customHeight="1" x14ac:dyDescent="0.35">
      <c r="A185">
        <v>182</v>
      </c>
      <c r="B185" t="s">
        <v>205</v>
      </c>
      <c r="C185" s="3">
        <v>46120</v>
      </c>
      <c r="D185" t="s">
        <v>19</v>
      </c>
      <c r="E185" s="6">
        <v>45</v>
      </c>
      <c r="F185" s="7">
        <v>271.58999999999997</v>
      </c>
      <c r="G185" s="7">
        <v>2832.74</v>
      </c>
      <c r="H185" t="s">
        <v>13</v>
      </c>
      <c r="I185" t="s">
        <v>318</v>
      </c>
      <c r="J185" s="6">
        <f t="shared" si="16"/>
        <v>2026</v>
      </c>
      <c r="K185" t="str">
        <f t="shared" si="17"/>
        <v>Apr-2026</v>
      </c>
      <c r="L185" t="str">
        <f t="shared" si="18"/>
        <v>Mid-Age (41-60)</v>
      </c>
      <c r="M185" s="8">
        <f t="shared" si="19"/>
        <v>10.43</v>
      </c>
      <c r="N185" t="str">
        <f t="shared" si="20"/>
        <v>Needs Review</v>
      </c>
      <c r="O185" t="str">
        <f t="shared" si="21"/>
        <v>POL</v>
      </c>
      <c r="P185" t="str">
        <f t="shared" si="22"/>
        <v>HEALTH</v>
      </c>
      <c r="Q185">
        <f t="shared" ca="1" si="23"/>
        <v>105</v>
      </c>
    </row>
    <row r="186" spans="1:17" ht="15" customHeight="1" x14ac:dyDescent="0.35">
      <c r="A186">
        <v>183</v>
      </c>
      <c r="B186" t="s">
        <v>206</v>
      </c>
      <c r="C186" s="3">
        <v>45853</v>
      </c>
      <c r="D186" t="s">
        <v>12</v>
      </c>
      <c r="E186" s="6">
        <v>26</v>
      </c>
      <c r="F186" s="7">
        <v>344</v>
      </c>
      <c r="G186" s="7">
        <v>1210.99</v>
      </c>
      <c r="H186" t="s">
        <v>13</v>
      </c>
      <c r="I186" t="s">
        <v>318</v>
      </c>
      <c r="J186" s="6">
        <f t="shared" si="16"/>
        <v>2025</v>
      </c>
      <c r="K186" t="str">
        <f t="shared" si="17"/>
        <v>Jul-2025</v>
      </c>
      <c r="L186" t="str">
        <f t="shared" si="18"/>
        <v>Adult (25-40)</v>
      </c>
      <c r="M186" s="8">
        <f t="shared" si="19"/>
        <v>3.52</v>
      </c>
      <c r="N186" t="str">
        <f t="shared" si="20"/>
        <v>Needs Review</v>
      </c>
      <c r="O186" t="str">
        <f t="shared" si="21"/>
        <v>POL</v>
      </c>
      <c r="P186" t="str">
        <f t="shared" si="22"/>
        <v>MOTOR</v>
      </c>
      <c r="Q186">
        <f t="shared" ca="1" si="23"/>
        <v>296</v>
      </c>
    </row>
    <row r="187" spans="1:17" ht="15" customHeight="1" x14ac:dyDescent="0.35">
      <c r="A187">
        <v>184</v>
      </c>
      <c r="B187" t="s">
        <v>207</v>
      </c>
      <c r="C187" s="3">
        <v>46052</v>
      </c>
      <c r="D187" t="s">
        <v>16</v>
      </c>
      <c r="E187" s="6">
        <v>75</v>
      </c>
      <c r="F187" s="7">
        <v>371.54</v>
      </c>
      <c r="G187" s="7">
        <v>0</v>
      </c>
      <c r="H187" t="s">
        <v>10</v>
      </c>
      <c r="I187" t="s">
        <v>318</v>
      </c>
      <c r="J187" s="6">
        <f t="shared" si="16"/>
        <v>2026</v>
      </c>
      <c r="K187" t="str">
        <f t="shared" si="17"/>
        <v>Jan-2026</v>
      </c>
      <c r="L187" t="str">
        <f t="shared" si="18"/>
        <v>Senior (60+)</v>
      </c>
      <c r="M187" s="8">
        <f t="shared" si="19"/>
        <v>0</v>
      </c>
      <c r="N187" t="str">
        <f t="shared" si="20"/>
        <v>Normal</v>
      </c>
      <c r="O187" t="str">
        <f t="shared" si="21"/>
        <v>POL</v>
      </c>
      <c r="P187" t="str">
        <f t="shared" si="22"/>
        <v>PROPERTY</v>
      </c>
      <c r="Q187">
        <f t="shared" ca="1" si="23"/>
        <v>153</v>
      </c>
    </row>
    <row r="188" spans="1:17" ht="15" customHeight="1" x14ac:dyDescent="0.35">
      <c r="A188">
        <v>185</v>
      </c>
      <c r="B188" t="s">
        <v>208</v>
      </c>
      <c r="C188" s="3">
        <v>46092</v>
      </c>
      <c r="D188" t="s">
        <v>12</v>
      </c>
      <c r="E188" s="6">
        <v>61</v>
      </c>
      <c r="F188" s="7">
        <v>259.18</v>
      </c>
      <c r="G188" s="7">
        <v>2327.5300000000002</v>
      </c>
      <c r="H188" t="s">
        <v>17</v>
      </c>
      <c r="I188" t="s">
        <v>318</v>
      </c>
      <c r="J188" s="6">
        <f t="shared" si="16"/>
        <v>2026</v>
      </c>
      <c r="K188" t="str">
        <f t="shared" si="17"/>
        <v>Mar-2026</v>
      </c>
      <c r="L188" t="str">
        <f t="shared" si="18"/>
        <v>Senior (60+)</v>
      </c>
      <c r="M188" s="8">
        <f t="shared" si="19"/>
        <v>8.98</v>
      </c>
      <c r="N188" t="str">
        <f t="shared" si="20"/>
        <v>Normal</v>
      </c>
      <c r="O188" t="str">
        <f t="shared" si="21"/>
        <v>POL</v>
      </c>
      <c r="P188" t="str">
        <f t="shared" si="22"/>
        <v>MOTOR</v>
      </c>
      <c r="Q188">
        <f t="shared" ca="1" si="23"/>
        <v>125</v>
      </c>
    </row>
    <row r="189" spans="1:17" ht="15" customHeight="1" x14ac:dyDescent="0.35">
      <c r="A189">
        <v>186</v>
      </c>
      <c r="B189" t="s">
        <v>209</v>
      </c>
      <c r="C189" s="3">
        <v>45912</v>
      </c>
      <c r="D189" t="s">
        <v>12</v>
      </c>
      <c r="E189" s="6">
        <v>72</v>
      </c>
      <c r="F189" s="7">
        <v>292.55</v>
      </c>
      <c r="G189" s="7">
        <v>0</v>
      </c>
      <c r="H189" t="s">
        <v>10</v>
      </c>
      <c r="I189" t="s">
        <v>320</v>
      </c>
      <c r="J189" s="6">
        <f t="shared" si="16"/>
        <v>2025</v>
      </c>
      <c r="K189" t="str">
        <f t="shared" si="17"/>
        <v>Sep-2025</v>
      </c>
      <c r="L189" t="str">
        <f t="shared" si="18"/>
        <v>Senior (60+)</v>
      </c>
      <c r="M189" s="8">
        <f t="shared" si="19"/>
        <v>0</v>
      </c>
      <c r="N189" t="str">
        <f t="shared" si="20"/>
        <v>Normal</v>
      </c>
      <c r="O189" t="str">
        <f t="shared" si="21"/>
        <v>POL</v>
      </c>
      <c r="P189" t="str">
        <f t="shared" si="22"/>
        <v>MOTOR</v>
      </c>
      <c r="Q189">
        <f t="shared" ca="1" si="23"/>
        <v>253</v>
      </c>
    </row>
    <row r="190" spans="1:17" ht="15" customHeight="1" x14ac:dyDescent="0.35">
      <c r="A190">
        <v>187</v>
      </c>
      <c r="B190" t="s">
        <v>210</v>
      </c>
      <c r="C190" s="3">
        <v>46135</v>
      </c>
      <c r="D190" t="s">
        <v>9</v>
      </c>
      <c r="E190" s="6">
        <v>74</v>
      </c>
      <c r="F190" s="7">
        <v>528.80999999999995</v>
      </c>
      <c r="G190" s="7">
        <v>1323.43</v>
      </c>
      <c r="H190" t="s">
        <v>13</v>
      </c>
      <c r="I190" t="s">
        <v>318</v>
      </c>
      <c r="J190" s="6">
        <f t="shared" si="16"/>
        <v>2026</v>
      </c>
      <c r="K190" t="str">
        <f t="shared" si="17"/>
        <v>Apr-2026</v>
      </c>
      <c r="L190" t="str">
        <f t="shared" si="18"/>
        <v>Senior (60+)</v>
      </c>
      <c r="M190" s="8">
        <f t="shared" si="19"/>
        <v>2.5</v>
      </c>
      <c r="N190" t="str">
        <f t="shared" si="20"/>
        <v>Needs Review</v>
      </c>
      <c r="O190" t="str">
        <f t="shared" si="21"/>
        <v>POL</v>
      </c>
      <c r="P190" t="str">
        <f t="shared" si="22"/>
        <v>LIFE</v>
      </c>
      <c r="Q190">
        <f t="shared" ca="1" si="23"/>
        <v>94</v>
      </c>
    </row>
    <row r="191" spans="1:17" ht="15" customHeight="1" x14ac:dyDescent="0.35">
      <c r="A191">
        <v>188</v>
      </c>
      <c r="B191" t="s">
        <v>211</v>
      </c>
      <c r="C191" s="3">
        <v>46038</v>
      </c>
      <c r="D191" t="s">
        <v>9</v>
      </c>
      <c r="E191" s="6">
        <v>35</v>
      </c>
      <c r="F191" s="7">
        <v>358.75</v>
      </c>
      <c r="G191" s="7">
        <v>0</v>
      </c>
      <c r="H191" t="s">
        <v>38</v>
      </c>
      <c r="I191" t="s">
        <v>321</v>
      </c>
      <c r="J191" s="6">
        <f t="shared" si="16"/>
        <v>2026</v>
      </c>
      <c r="K191" t="str">
        <f t="shared" si="17"/>
        <v>Jan-2026</v>
      </c>
      <c r="L191" t="str">
        <f t="shared" si="18"/>
        <v>Adult (25-40)</v>
      </c>
      <c r="M191" s="8">
        <f t="shared" si="19"/>
        <v>0</v>
      </c>
      <c r="N191" t="str">
        <f t="shared" si="20"/>
        <v>Needs Review</v>
      </c>
      <c r="O191" t="str">
        <f t="shared" si="21"/>
        <v>POL</v>
      </c>
      <c r="P191" t="str">
        <f t="shared" si="22"/>
        <v>LIFE</v>
      </c>
      <c r="Q191">
        <f t="shared" ca="1" si="23"/>
        <v>163</v>
      </c>
    </row>
    <row r="192" spans="1:17" ht="15" customHeight="1" x14ac:dyDescent="0.35">
      <c r="A192">
        <v>189</v>
      </c>
      <c r="B192" t="s">
        <v>212</v>
      </c>
      <c r="C192" s="3">
        <v>45939</v>
      </c>
      <c r="D192" t="s">
        <v>40</v>
      </c>
      <c r="E192" s="6">
        <v>47</v>
      </c>
      <c r="F192" s="7">
        <v>122.1</v>
      </c>
      <c r="G192" s="7">
        <v>730.73</v>
      </c>
      <c r="H192" t="s">
        <v>13</v>
      </c>
      <c r="I192" t="s">
        <v>323</v>
      </c>
      <c r="J192" s="6">
        <f t="shared" si="16"/>
        <v>2025</v>
      </c>
      <c r="K192" t="str">
        <f t="shared" si="17"/>
        <v>Oct-2025</v>
      </c>
      <c r="L192" t="str">
        <f t="shared" si="18"/>
        <v>Mid-Age (41-60)</v>
      </c>
      <c r="M192" s="8">
        <f t="shared" si="19"/>
        <v>5.98</v>
      </c>
      <c r="N192" t="str">
        <f t="shared" si="20"/>
        <v>Needs Review</v>
      </c>
      <c r="O192" t="str">
        <f t="shared" si="21"/>
        <v>POL</v>
      </c>
      <c r="P192" t="str">
        <f t="shared" si="22"/>
        <v>TRAVEL</v>
      </c>
      <c r="Q192">
        <f t="shared" ca="1" si="23"/>
        <v>234</v>
      </c>
    </row>
    <row r="193" spans="1:17" ht="15" customHeight="1" x14ac:dyDescent="0.35">
      <c r="A193">
        <v>190</v>
      </c>
      <c r="B193" t="s">
        <v>214</v>
      </c>
      <c r="C193" s="3">
        <v>46018</v>
      </c>
      <c r="D193" t="s">
        <v>12</v>
      </c>
      <c r="E193" s="6">
        <v>64</v>
      </c>
      <c r="F193" s="7">
        <v>335.45</v>
      </c>
      <c r="G193" s="7">
        <v>615.14</v>
      </c>
      <c r="H193" t="s">
        <v>17</v>
      </c>
      <c r="I193" t="s">
        <v>318</v>
      </c>
      <c r="J193" s="6">
        <f t="shared" si="16"/>
        <v>2025</v>
      </c>
      <c r="K193" t="str">
        <f t="shared" si="17"/>
        <v>Dec-2025</v>
      </c>
      <c r="L193" t="str">
        <f t="shared" si="18"/>
        <v>Senior (60+)</v>
      </c>
      <c r="M193" s="8">
        <f t="shared" si="19"/>
        <v>1.83</v>
      </c>
      <c r="N193" t="str">
        <f t="shared" si="20"/>
        <v>Normal</v>
      </c>
      <c r="O193" t="str">
        <f t="shared" si="21"/>
        <v>POL</v>
      </c>
      <c r="P193" t="str">
        <f t="shared" si="22"/>
        <v>MOTOR</v>
      </c>
      <c r="Q193">
        <f t="shared" ca="1" si="23"/>
        <v>177</v>
      </c>
    </row>
    <row r="194" spans="1:17" ht="15" customHeight="1" x14ac:dyDescent="0.35">
      <c r="A194">
        <v>191</v>
      </c>
      <c r="B194" t="s">
        <v>215</v>
      </c>
      <c r="C194" s="3">
        <v>46143</v>
      </c>
      <c r="D194" t="s">
        <v>12</v>
      </c>
      <c r="E194" s="6">
        <v>40</v>
      </c>
      <c r="F194" s="7">
        <v>258.57</v>
      </c>
      <c r="G194" s="7">
        <v>0</v>
      </c>
      <c r="H194" t="s">
        <v>10</v>
      </c>
      <c r="I194" t="s">
        <v>318</v>
      </c>
      <c r="J194" s="6">
        <f t="shared" si="16"/>
        <v>2026</v>
      </c>
      <c r="K194" t="str">
        <f t="shared" si="17"/>
        <v>May-2026</v>
      </c>
      <c r="L194" t="str">
        <f t="shared" si="18"/>
        <v>Adult (25-40)</v>
      </c>
      <c r="M194" s="8">
        <f t="shared" si="19"/>
        <v>0</v>
      </c>
      <c r="N194" t="str">
        <f t="shared" si="20"/>
        <v>Normal</v>
      </c>
      <c r="O194" t="str">
        <f t="shared" si="21"/>
        <v>POL</v>
      </c>
      <c r="P194" t="str">
        <f t="shared" si="22"/>
        <v>MOTOR</v>
      </c>
      <c r="Q194">
        <f t="shared" ca="1" si="23"/>
        <v>88</v>
      </c>
    </row>
    <row r="195" spans="1:17" ht="15" customHeight="1" x14ac:dyDescent="0.35">
      <c r="A195">
        <v>192</v>
      </c>
      <c r="B195" t="s">
        <v>216</v>
      </c>
      <c r="C195" s="3">
        <v>45726</v>
      </c>
      <c r="D195" t="s">
        <v>19</v>
      </c>
      <c r="E195" s="6">
        <v>22</v>
      </c>
      <c r="F195" s="7">
        <v>269</v>
      </c>
      <c r="G195" s="7">
        <v>3241.57</v>
      </c>
      <c r="H195" t="s">
        <v>38</v>
      </c>
      <c r="I195" t="s">
        <v>321</v>
      </c>
      <c r="J195" s="6">
        <f t="shared" si="16"/>
        <v>2025</v>
      </c>
      <c r="K195" t="str">
        <f t="shared" si="17"/>
        <v>Mar-2025</v>
      </c>
      <c r="L195" t="str">
        <f t="shared" si="18"/>
        <v>Young (18-24)</v>
      </c>
      <c r="M195" s="8">
        <f t="shared" si="19"/>
        <v>12.05</v>
      </c>
      <c r="N195" t="str">
        <f t="shared" si="20"/>
        <v>Needs Review</v>
      </c>
      <c r="O195" t="str">
        <f t="shared" si="21"/>
        <v>POL</v>
      </c>
      <c r="P195" t="str">
        <f t="shared" si="22"/>
        <v>HEALTH</v>
      </c>
      <c r="Q195">
        <f t="shared" ca="1" si="23"/>
        <v>387</v>
      </c>
    </row>
    <row r="196" spans="1:17" ht="15" customHeight="1" x14ac:dyDescent="0.35">
      <c r="A196">
        <v>193</v>
      </c>
      <c r="B196" t="s">
        <v>217</v>
      </c>
      <c r="C196" s="3">
        <v>46202</v>
      </c>
      <c r="D196" t="s">
        <v>19</v>
      </c>
      <c r="E196" s="6">
        <v>55</v>
      </c>
      <c r="F196" s="7">
        <v>341.88</v>
      </c>
      <c r="G196" s="7">
        <v>1253.25</v>
      </c>
      <c r="H196" t="s">
        <v>17</v>
      </c>
      <c r="I196" t="s">
        <v>320</v>
      </c>
      <c r="J196" s="6">
        <f t="shared" ref="J196:J259" si="24">YEAR(C196)</f>
        <v>2026</v>
      </c>
      <c r="K196" t="str">
        <f t="shared" ref="K196:K259" si="25">TEXT(C196,"mmm-yyyy")</f>
        <v>Jun-2026</v>
      </c>
      <c r="L196" t="str">
        <f t="shared" ref="L196:L259" si="26">_xlfn.IFS(E196&lt;25,"Young (18-24)",E196&lt;=40,"Adult (25-40)",E196&lt;=60,"Mid-Age (41-60)",TRUE(),"Senior (60+)")</f>
        <v>Mid-Age (41-60)</v>
      </c>
      <c r="M196" s="8">
        <f t="shared" ref="M196:M259" si="27">IF(F196=0,0,ROUND(G196/F196,2))</f>
        <v>3.67</v>
      </c>
      <c r="N196" t="str">
        <f t="shared" ref="N196:N259" si="28">IF(AND(G196&gt;3000,H196="Approved"),"High-Value Approved",IF(OR(H196="Pending",H196="Unknown"),"Needs Review","Normal"))</f>
        <v>Normal</v>
      </c>
      <c r="O196" t="str">
        <f t="shared" ref="O196:O259" si="29">LEFT(B196,3)</f>
        <v>POL</v>
      </c>
      <c r="P196" t="str">
        <f t="shared" ref="P196:P259" si="30">UPPER(D196)</f>
        <v>HEALTH</v>
      </c>
      <c r="Q196">
        <f t="shared" ref="Q196:Q259" ca="1" si="31">NETWORKDAYS(C196,TODAY())</f>
        <v>47</v>
      </c>
    </row>
    <row r="197" spans="1:17" ht="15" customHeight="1" x14ac:dyDescent="0.35">
      <c r="A197">
        <v>194</v>
      </c>
      <c r="B197" t="s">
        <v>218</v>
      </c>
      <c r="C197" s="3">
        <v>45873</v>
      </c>
      <c r="D197" t="s">
        <v>19</v>
      </c>
      <c r="E197" s="6">
        <v>33</v>
      </c>
      <c r="F197" s="7">
        <v>282.63</v>
      </c>
      <c r="G197" s="7">
        <v>3474.06</v>
      </c>
      <c r="H197" t="s">
        <v>13</v>
      </c>
      <c r="I197" t="s">
        <v>318</v>
      </c>
      <c r="J197" s="6">
        <f t="shared" si="24"/>
        <v>2025</v>
      </c>
      <c r="K197" t="str">
        <f t="shared" si="25"/>
        <v>Aug-2025</v>
      </c>
      <c r="L197" t="str">
        <f t="shared" si="26"/>
        <v>Adult (25-40)</v>
      </c>
      <c r="M197" s="8">
        <f t="shared" si="27"/>
        <v>12.29</v>
      </c>
      <c r="N197" t="str">
        <f t="shared" si="28"/>
        <v>Needs Review</v>
      </c>
      <c r="O197" t="str">
        <f t="shared" si="29"/>
        <v>POL</v>
      </c>
      <c r="P197" t="str">
        <f t="shared" si="30"/>
        <v>HEALTH</v>
      </c>
      <c r="Q197">
        <f t="shared" ca="1" si="31"/>
        <v>282</v>
      </c>
    </row>
    <row r="198" spans="1:17" ht="15" customHeight="1" x14ac:dyDescent="0.35">
      <c r="A198">
        <v>195</v>
      </c>
      <c r="B198" t="s">
        <v>219</v>
      </c>
      <c r="C198" s="3">
        <v>45939</v>
      </c>
      <c r="D198" t="s">
        <v>9</v>
      </c>
      <c r="E198" s="6">
        <v>41</v>
      </c>
      <c r="F198" s="7">
        <v>435.79</v>
      </c>
      <c r="G198" s="7">
        <v>0</v>
      </c>
      <c r="H198" t="s">
        <v>10</v>
      </c>
      <c r="I198" t="s">
        <v>316</v>
      </c>
      <c r="J198" s="6">
        <f t="shared" si="24"/>
        <v>2025</v>
      </c>
      <c r="K198" t="str">
        <f t="shared" si="25"/>
        <v>Oct-2025</v>
      </c>
      <c r="L198" t="str">
        <f t="shared" si="26"/>
        <v>Mid-Age (41-60)</v>
      </c>
      <c r="M198" s="8">
        <f t="shared" si="27"/>
        <v>0</v>
      </c>
      <c r="N198" t="str">
        <f t="shared" si="28"/>
        <v>Normal</v>
      </c>
      <c r="O198" t="str">
        <f t="shared" si="29"/>
        <v>POL</v>
      </c>
      <c r="P198" t="str">
        <f t="shared" si="30"/>
        <v>LIFE</v>
      </c>
      <c r="Q198">
        <f t="shared" ca="1" si="31"/>
        <v>234</v>
      </c>
    </row>
    <row r="199" spans="1:17" ht="15" customHeight="1" x14ac:dyDescent="0.35">
      <c r="A199">
        <v>196</v>
      </c>
      <c r="B199" t="s">
        <v>220</v>
      </c>
      <c r="C199" s="3">
        <v>45718</v>
      </c>
      <c r="D199" t="s">
        <v>9</v>
      </c>
      <c r="E199" s="6">
        <v>61</v>
      </c>
      <c r="F199" s="7">
        <v>418.98</v>
      </c>
      <c r="G199" s="7">
        <v>0</v>
      </c>
      <c r="H199" t="s">
        <v>38</v>
      </c>
      <c r="I199" t="s">
        <v>321</v>
      </c>
      <c r="J199" s="6">
        <f t="shared" si="24"/>
        <v>2025</v>
      </c>
      <c r="K199" t="str">
        <f t="shared" si="25"/>
        <v>Mar-2025</v>
      </c>
      <c r="L199" t="str">
        <f t="shared" si="26"/>
        <v>Senior (60+)</v>
      </c>
      <c r="M199" s="8">
        <f t="shared" si="27"/>
        <v>0</v>
      </c>
      <c r="N199" t="str">
        <f t="shared" si="28"/>
        <v>Needs Review</v>
      </c>
      <c r="O199" t="str">
        <f t="shared" si="29"/>
        <v>POL</v>
      </c>
      <c r="P199" t="str">
        <f t="shared" si="30"/>
        <v>LIFE</v>
      </c>
      <c r="Q199">
        <f t="shared" ca="1" si="31"/>
        <v>392</v>
      </c>
    </row>
    <row r="200" spans="1:17" ht="15" customHeight="1" x14ac:dyDescent="0.35">
      <c r="A200">
        <v>197</v>
      </c>
      <c r="B200" t="s">
        <v>221</v>
      </c>
      <c r="C200" s="3">
        <v>45679</v>
      </c>
      <c r="D200" t="s">
        <v>19</v>
      </c>
      <c r="E200" s="6">
        <v>35</v>
      </c>
      <c r="F200" s="7">
        <v>276.36</v>
      </c>
      <c r="G200" s="7">
        <v>3372.3</v>
      </c>
      <c r="H200" t="s">
        <v>13</v>
      </c>
      <c r="I200" t="s">
        <v>318</v>
      </c>
      <c r="J200" s="6">
        <f t="shared" si="24"/>
        <v>2025</v>
      </c>
      <c r="K200" t="str">
        <f t="shared" si="25"/>
        <v>Jan-2025</v>
      </c>
      <c r="L200" t="str">
        <f t="shared" si="26"/>
        <v>Adult (25-40)</v>
      </c>
      <c r="M200" s="8">
        <f t="shared" si="27"/>
        <v>12.2</v>
      </c>
      <c r="N200" t="str">
        <f t="shared" si="28"/>
        <v>Needs Review</v>
      </c>
      <c r="O200" t="str">
        <f t="shared" si="29"/>
        <v>POL</v>
      </c>
      <c r="P200" t="str">
        <f t="shared" si="30"/>
        <v>HEALTH</v>
      </c>
      <c r="Q200">
        <f t="shared" ca="1" si="31"/>
        <v>420</v>
      </c>
    </row>
    <row r="201" spans="1:17" ht="15" customHeight="1" x14ac:dyDescent="0.35">
      <c r="A201">
        <v>198</v>
      </c>
      <c r="B201" t="s">
        <v>222</v>
      </c>
      <c r="C201" s="3">
        <v>45922</v>
      </c>
      <c r="D201" t="s">
        <v>19</v>
      </c>
      <c r="E201" s="6">
        <v>72</v>
      </c>
      <c r="F201" s="7">
        <v>357.36</v>
      </c>
      <c r="G201" s="7">
        <v>1485.33</v>
      </c>
      <c r="H201" t="s">
        <v>13</v>
      </c>
      <c r="I201" t="s">
        <v>322</v>
      </c>
      <c r="J201" s="6">
        <f t="shared" si="24"/>
        <v>2025</v>
      </c>
      <c r="K201" t="str">
        <f t="shared" si="25"/>
        <v>Sep-2025</v>
      </c>
      <c r="L201" t="str">
        <f t="shared" si="26"/>
        <v>Senior (60+)</v>
      </c>
      <c r="M201" s="8">
        <f t="shared" si="27"/>
        <v>4.16</v>
      </c>
      <c r="N201" t="str">
        <f t="shared" si="28"/>
        <v>Needs Review</v>
      </c>
      <c r="O201" t="str">
        <f t="shared" si="29"/>
        <v>POL</v>
      </c>
      <c r="P201" t="str">
        <f t="shared" si="30"/>
        <v>HEALTH</v>
      </c>
      <c r="Q201">
        <f t="shared" ca="1" si="31"/>
        <v>247</v>
      </c>
    </row>
    <row r="202" spans="1:17" ht="15" customHeight="1" x14ac:dyDescent="0.35">
      <c r="A202">
        <v>199</v>
      </c>
      <c r="B202" t="s">
        <v>223</v>
      </c>
      <c r="C202" s="3">
        <v>45889</v>
      </c>
      <c r="D202" t="s">
        <v>40</v>
      </c>
      <c r="E202" s="6">
        <v>80</v>
      </c>
      <c r="F202" s="7">
        <v>107.94</v>
      </c>
      <c r="G202" s="7">
        <v>0</v>
      </c>
      <c r="H202" t="s">
        <v>10</v>
      </c>
      <c r="I202" t="s">
        <v>318</v>
      </c>
      <c r="J202" s="6">
        <f t="shared" si="24"/>
        <v>2025</v>
      </c>
      <c r="K202" t="str">
        <f t="shared" si="25"/>
        <v>Aug-2025</v>
      </c>
      <c r="L202" t="str">
        <f t="shared" si="26"/>
        <v>Senior (60+)</v>
      </c>
      <c r="M202" s="8">
        <f t="shared" si="27"/>
        <v>0</v>
      </c>
      <c r="N202" t="str">
        <f t="shared" si="28"/>
        <v>Normal</v>
      </c>
      <c r="O202" t="str">
        <f t="shared" si="29"/>
        <v>POL</v>
      </c>
      <c r="P202" t="str">
        <f t="shared" si="30"/>
        <v>TRAVEL</v>
      </c>
      <c r="Q202">
        <f t="shared" ca="1" si="31"/>
        <v>270</v>
      </c>
    </row>
    <row r="203" spans="1:17" ht="15" customHeight="1" x14ac:dyDescent="0.35">
      <c r="A203">
        <v>200</v>
      </c>
      <c r="B203" t="s">
        <v>224</v>
      </c>
      <c r="C203" s="3">
        <v>45976</v>
      </c>
      <c r="D203" t="s">
        <v>12</v>
      </c>
      <c r="E203" s="6">
        <v>71</v>
      </c>
      <c r="F203" s="7">
        <v>292.55</v>
      </c>
      <c r="G203" s="7">
        <v>2390.31</v>
      </c>
      <c r="H203" t="s">
        <v>13</v>
      </c>
      <c r="I203" t="s">
        <v>320</v>
      </c>
      <c r="J203" s="6">
        <f t="shared" si="24"/>
        <v>2025</v>
      </c>
      <c r="K203" t="str">
        <f t="shared" si="25"/>
        <v>Nov-2025</v>
      </c>
      <c r="L203" t="str">
        <f t="shared" si="26"/>
        <v>Senior (60+)</v>
      </c>
      <c r="M203" s="8">
        <f t="shared" si="27"/>
        <v>8.17</v>
      </c>
      <c r="N203" t="str">
        <f t="shared" si="28"/>
        <v>Needs Review</v>
      </c>
      <c r="O203" t="str">
        <f t="shared" si="29"/>
        <v>POL</v>
      </c>
      <c r="P203" t="str">
        <f t="shared" si="30"/>
        <v>MOTOR</v>
      </c>
      <c r="Q203">
        <f t="shared" ca="1" si="31"/>
        <v>207</v>
      </c>
    </row>
    <row r="204" spans="1:17" ht="15" customHeight="1" x14ac:dyDescent="0.35">
      <c r="A204">
        <v>201</v>
      </c>
      <c r="B204" t="s">
        <v>225</v>
      </c>
      <c r="C204" s="3">
        <v>45792</v>
      </c>
      <c r="D204" t="s">
        <v>19</v>
      </c>
      <c r="E204" s="6">
        <v>78</v>
      </c>
      <c r="F204" s="7">
        <v>416.61</v>
      </c>
      <c r="G204" s="7">
        <v>0</v>
      </c>
      <c r="H204" t="s">
        <v>10</v>
      </c>
      <c r="I204" t="s">
        <v>318</v>
      </c>
      <c r="J204" s="6">
        <f t="shared" si="24"/>
        <v>2025</v>
      </c>
      <c r="K204" t="str">
        <f t="shared" si="25"/>
        <v>May-2025</v>
      </c>
      <c r="L204" t="str">
        <f t="shared" si="26"/>
        <v>Senior (60+)</v>
      </c>
      <c r="M204" s="8">
        <f t="shared" si="27"/>
        <v>0</v>
      </c>
      <c r="N204" t="str">
        <f t="shared" si="28"/>
        <v>Normal</v>
      </c>
      <c r="O204" t="str">
        <f t="shared" si="29"/>
        <v>POL</v>
      </c>
      <c r="P204" t="str">
        <f t="shared" si="30"/>
        <v>HEALTH</v>
      </c>
      <c r="Q204">
        <f t="shared" ca="1" si="31"/>
        <v>339</v>
      </c>
    </row>
    <row r="205" spans="1:17" ht="15" customHeight="1" x14ac:dyDescent="0.35">
      <c r="A205">
        <v>202</v>
      </c>
      <c r="B205" t="s">
        <v>226</v>
      </c>
      <c r="C205" s="3">
        <v>45979</v>
      </c>
      <c r="D205" t="s">
        <v>19</v>
      </c>
      <c r="E205" s="6">
        <v>52</v>
      </c>
      <c r="F205" s="7">
        <v>328.71</v>
      </c>
      <c r="G205" s="7">
        <v>3230.38</v>
      </c>
      <c r="H205" t="s">
        <v>30</v>
      </c>
      <c r="I205" t="s">
        <v>318</v>
      </c>
      <c r="J205" s="6">
        <f t="shared" si="24"/>
        <v>2025</v>
      </c>
      <c r="K205" t="str">
        <f t="shared" si="25"/>
        <v>Nov-2025</v>
      </c>
      <c r="L205" t="str">
        <f t="shared" si="26"/>
        <v>Mid-Age (41-60)</v>
      </c>
      <c r="M205" s="8">
        <f t="shared" si="27"/>
        <v>9.83</v>
      </c>
      <c r="N205" t="str">
        <f t="shared" si="28"/>
        <v>Normal</v>
      </c>
      <c r="O205" t="str">
        <f t="shared" si="29"/>
        <v>POL</v>
      </c>
      <c r="P205" t="str">
        <f t="shared" si="30"/>
        <v>HEALTH</v>
      </c>
      <c r="Q205">
        <f t="shared" ca="1" si="31"/>
        <v>206</v>
      </c>
    </row>
    <row r="206" spans="1:17" ht="15" customHeight="1" x14ac:dyDescent="0.35">
      <c r="A206">
        <v>203</v>
      </c>
      <c r="B206" t="s">
        <v>227</v>
      </c>
      <c r="C206" s="3">
        <v>45660</v>
      </c>
      <c r="D206" t="s">
        <v>16</v>
      </c>
      <c r="E206" s="6">
        <v>30</v>
      </c>
      <c r="F206" s="7">
        <v>469.45</v>
      </c>
      <c r="G206" s="7">
        <v>0</v>
      </c>
      <c r="H206" t="s">
        <v>10</v>
      </c>
      <c r="I206" t="s">
        <v>318</v>
      </c>
      <c r="J206" s="6">
        <f t="shared" si="24"/>
        <v>2025</v>
      </c>
      <c r="K206" t="str">
        <f t="shared" si="25"/>
        <v>Jan-2025</v>
      </c>
      <c r="L206" t="str">
        <f t="shared" si="26"/>
        <v>Adult (25-40)</v>
      </c>
      <c r="M206" s="8">
        <f t="shared" si="27"/>
        <v>0</v>
      </c>
      <c r="N206" t="str">
        <f t="shared" si="28"/>
        <v>Normal</v>
      </c>
      <c r="O206" t="str">
        <f t="shared" si="29"/>
        <v>POL</v>
      </c>
      <c r="P206" t="str">
        <f t="shared" si="30"/>
        <v>PROPERTY</v>
      </c>
      <c r="Q206">
        <f t="shared" ca="1" si="31"/>
        <v>433</v>
      </c>
    </row>
    <row r="207" spans="1:17" ht="15" customHeight="1" x14ac:dyDescent="0.35">
      <c r="A207">
        <v>204</v>
      </c>
      <c r="B207" t="s">
        <v>228</v>
      </c>
      <c r="C207" s="3">
        <v>46148</v>
      </c>
      <c r="D207" t="s">
        <v>12</v>
      </c>
      <c r="E207" s="6">
        <v>47</v>
      </c>
      <c r="F207" s="7">
        <v>347.66</v>
      </c>
      <c r="G207" s="7">
        <v>0</v>
      </c>
      <c r="H207" t="s">
        <v>10</v>
      </c>
      <c r="I207" t="s">
        <v>319</v>
      </c>
      <c r="J207" s="6">
        <f t="shared" si="24"/>
        <v>2026</v>
      </c>
      <c r="K207" t="str">
        <f t="shared" si="25"/>
        <v>May-2026</v>
      </c>
      <c r="L207" t="str">
        <f t="shared" si="26"/>
        <v>Mid-Age (41-60)</v>
      </c>
      <c r="M207" s="8">
        <f t="shared" si="27"/>
        <v>0</v>
      </c>
      <c r="N207" t="str">
        <f t="shared" si="28"/>
        <v>Normal</v>
      </c>
      <c r="O207" t="str">
        <f t="shared" si="29"/>
        <v>POL</v>
      </c>
      <c r="P207" t="str">
        <f t="shared" si="30"/>
        <v>MOTOR</v>
      </c>
      <c r="Q207">
        <f t="shared" ca="1" si="31"/>
        <v>85</v>
      </c>
    </row>
    <row r="208" spans="1:17" ht="15" customHeight="1" x14ac:dyDescent="0.35">
      <c r="A208">
        <v>205</v>
      </c>
      <c r="B208" t="s">
        <v>229</v>
      </c>
      <c r="C208" s="3">
        <v>45746</v>
      </c>
      <c r="D208" t="s">
        <v>16</v>
      </c>
      <c r="E208" s="6">
        <v>49</v>
      </c>
      <c r="F208" s="7">
        <v>517.41</v>
      </c>
      <c r="G208" s="7">
        <v>2426.7199999999998</v>
      </c>
      <c r="H208" t="s">
        <v>30</v>
      </c>
      <c r="I208" t="s">
        <v>319</v>
      </c>
      <c r="J208" s="6">
        <f t="shared" si="24"/>
        <v>2025</v>
      </c>
      <c r="K208" t="str">
        <f t="shared" si="25"/>
        <v>Mar-2025</v>
      </c>
      <c r="L208" t="str">
        <f t="shared" si="26"/>
        <v>Mid-Age (41-60)</v>
      </c>
      <c r="M208" s="8">
        <f t="shared" si="27"/>
        <v>4.6900000000000004</v>
      </c>
      <c r="N208" t="str">
        <f t="shared" si="28"/>
        <v>Normal</v>
      </c>
      <c r="O208" t="str">
        <f t="shared" si="29"/>
        <v>POL</v>
      </c>
      <c r="P208" t="str">
        <f t="shared" si="30"/>
        <v>PROPERTY</v>
      </c>
      <c r="Q208">
        <f t="shared" ca="1" si="31"/>
        <v>372</v>
      </c>
    </row>
    <row r="209" spans="1:17" ht="15" customHeight="1" x14ac:dyDescent="0.35">
      <c r="A209">
        <v>206</v>
      </c>
      <c r="B209" t="s">
        <v>230</v>
      </c>
      <c r="C209" s="3">
        <v>45670</v>
      </c>
      <c r="D209" t="s">
        <v>19</v>
      </c>
      <c r="E209" s="6">
        <v>40</v>
      </c>
      <c r="F209" s="7">
        <v>360.45</v>
      </c>
      <c r="G209" s="7">
        <v>1801.76</v>
      </c>
      <c r="H209" t="s">
        <v>38</v>
      </c>
      <c r="I209" t="s">
        <v>321</v>
      </c>
      <c r="J209" s="6">
        <f t="shared" si="24"/>
        <v>2025</v>
      </c>
      <c r="K209" t="str">
        <f t="shared" si="25"/>
        <v>Jan-2025</v>
      </c>
      <c r="L209" t="str">
        <f t="shared" si="26"/>
        <v>Adult (25-40)</v>
      </c>
      <c r="M209" s="8">
        <f t="shared" si="27"/>
        <v>5</v>
      </c>
      <c r="N209" t="str">
        <f t="shared" si="28"/>
        <v>Needs Review</v>
      </c>
      <c r="O209" t="str">
        <f t="shared" si="29"/>
        <v>POL</v>
      </c>
      <c r="P209" t="str">
        <f t="shared" si="30"/>
        <v>HEALTH</v>
      </c>
      <c r="Q209">
        <f t="shared" ca="1" si="31"/>
        <v>427</v>
      </c>
    </row>
    <row r="210" spans="1:17" ht="15" customHeight="1" x14ac:dyDescent="0.35">
      <c r="A210">
        <v>207</v>
      </c>
      <c r="B210" t="s">
        <v>231</v>
      </c>
      <c r="C210" s="3">
        <v>45704</v>
      </c>
      <c r="D210" t="s">
        <v>16</v>
      </c>
      <c r="E210" s="6">
        <v>42</v>
      </c>
      <c r="F210" s="7">
        <v>475.22</v>
      </c>
      <c r="G210" s="7">
        <v>3375.56</v>
      </c>
      <c r="H210" t="s">
        <v>13</v>
      </c>
      <c r="I210" t="s">
        <v>318</v>
      </c>
      <c r="J210" s="6">
        <f t="shared" si="24"/>
        <v>2025</v>
      </c>
      <c r="K210" t="str">
        <f t="shared" si="25"/>
        <v>Feb-2025</v>
      </c>
      <c r="L210" t="str">
        <f t="shared" si="26"/>
        <v>Mid-Age (41-60)</v>
      </c>
      <c r="M210" s="8">
        <f t="shared" si="27"/>
        <v>7.1</v>
      </c>
      <c r="N210" t="str">
        <f t="shared" si="28"/>
        <v>Needs Review</v>
      </c>
      <c r="O210" t="str">
        <f t="shared" si="29"/>
        <v>POL</v>
      </c>
      <c r="P210" t="str">
        <f t="shared" si="30"/>
        <v>PROPERTY</v>
      </c>
      <c r="Q210">
        <f t="shared" ca="1" si="31"/>
        <v>402</v>
      </c>
    </row>
    <row r="211" spans="1:17" ht="15" customHeight="1" x14ac:dyDescent="0.35">
      <c r="A211">
        <v>208</v>
      </c>
      <c r="B211" t="s">
        <v>232</v>
      </c>
      <c r="C211" s="3">
        <v>45663</v>
      </c>
      <c r="D211" t="s">
        <v>16</v>
      </c>
      <c r="E211" s="6">
        <v>77</v>
      </c>
      <c r="F211" s="7">
        <v>532.19000000000005</v>
      </c>
      <c r="G211" s="7">
        <v>1639.93</v>
      </c>
      <c r="H211" t="s">
        <v>17</v>
      </c>
      <c r="I211" t="s">
        <v>318</v>
      </c>
      <c r="J211" s="6">
        <f t="shared" si="24"/>
        <v>2025</v>
      </c>
      <c r="K211" t="str">
        <f t="shared" si="25"/>
        <v>Jan-2025</v>
      </c>
      <c r="L211" t="str">
        <f t="shared" si="26"/>
        <v>Senior (60+)</v>
      </c>
      <c r="M211" s="8">
        <f t="shared" si="27"/>
        <v>3.08</v>
      </c>
      <c r="N211" t="str">
        <f t="shared" si="28"/>
        <v>Normal</v>
      </c>
      <c r="O211" t="str">
        <f t="shared" si="29"/>
        <v>POL</v>
      </c>
      <c r="P211" t="str">
        <f t="shared" si="30"/>
        <v>PROPERTY</v>
      </c>
      <c r="Q211">
        <f t="shared" ca="1" si="31"/>
        <v>432</v>
      </c>
    </row>
    <row r="212" spans="1:17" ht="15" customHeight="1" x14ac:dyDescent="0.35">
      <c r="A212">
        <v>209</v>
      </c>
      <c r="B212" t="s">
        <v>233</v>
      </c>
      <c r="C212" s="3">
        <v>45939</v>
      </c>
      <c r="D212" t="s">
        <v>16</v>
      </c>
      <c r="E212" s="6">
        <v>80</v>
      </c>
      <c r="F212" s="7">
        <v>435.62</v>
      </c>
      <c r="G212" s="7">
        <v>1148.0899999999999</v>
      </c>
      <c r="H212" t="s">
        <v>30</v>
      </c>
      <c r="I212" t="s">
        <v>318</v>
      </c>
      <c r="J212" s="6">
        <f t="shared" si="24"/>
        <v>2025</v>
      </c>
      <c r="K212" t="str">
        <f t="shared" si="25"/>
        <v>Oct-2025</v>
      </c>
      <c r="L212" t="str">
        <f t="shared" si="26"/>
        <v>Senior (60+)</v>
      </c>
      <c r="M212" s="8">
        <f t="shared" si="27"/>
        <v>2.64</v>
      </c>
      <c r="N212" t="str">
        <f t="shared" si="28"/>
        <v>Normal</v>
      </c>
      <c r="O212" t="str">
        <f t="shared" si="29"/>
        <v>POL</v>
      </c>
      <c r="P212" t="str">
        <f t="shared" si="30"/>
        <v>PROPERTY</v>
      </c>
      <c r="Q212">
        <f t="shared" ca="1" si="31"/>
        <v>234</v>
      </c>
    </row>
    <row r="213" spans="1:17" ht="15" customHeight="1" x14ac:dyDescent="0.35">
      <c r="A213">
        <v>210</v>
      </c>
      <c r="B213" t="s">
        <v>234</v>
      </c>
      <c r="C213" s="3">
        <v>45906</v>
      </c>
      <c r="D213" t="s">
        <v>16</v>
      </c>
      <c r="E213" s="6">
        <v>30</v>
      </c>
      <c r="F213" s="7">
        <v>465.9</v>
      </c>
      <c r="G213" s="7">
        <v>0</v>
      </c>
      <c r="H213" t="s">
        <v>10</v>
      </c>
      <c r="I213" t="s">
        <v>318</v>
      </c>
      <c r="J213" s="6">
        <f t="shared" si="24"/>
        <v>2025</v>
      </c>
      <c r="K213" t="str">
        <f t="shared" si="25"/>
        <v>Sep-2025</v>
      </c>
      <c r="L213" t="str">
        <f t="shared" si="26"/>
        <v>Adult (25-40)</v>
      </c>
      <c r="M213" s="8">
        <f t="shared" si="27"/>
        <v>0</v>
      </c>
      <c r="N213" t="str">
        <f t="shared" si="28"/>
        <v>Normal</v>
      </c>
      <c r="O213" t="str">
        <f t="shared" si="29"/>
        <v>POL</v>
      </c>
      <c r="P213" t="str">
        <f t="shared" si="30"/>
        <v>PROPERTY</v>
      </c>
      <c r="Q213">
        <f t="shared" ca="1" si="31"/>
        <v>257</v>
      </c>
    </row>
    <row r="214" spans="1:17" ht="15" customHeight="1" x14ac:dyDescent="0.35">
      <c r="A214">
        <v>211</v>
      </c>
      <c r="B214" t="s">
        <v>235</v>
      </c>
      <c r="C214" s="3">
        <v>46108</v>
      </c>
      <c r="D214" t="s">
        <v>40</v>
      </c>
      <c r="E214" s="6">
        <v>79</v>
      </c>
      <c r="F214" s="7">
        <v>119.92</v>
      </c>
      <c r="G214" s="7">
        <v>604.95000000000005</v>
      </c>
      <c r="H214" t="s">
        <v>38</v>
      </c>
      <c r="I214" t="s">
        <v>321</v>
      </c>
      <c r="J214" s="6">
        <f t="shared" si="24"/>
        <v>2026</v>
      </c>
      <c r="K214" t="str">
        <f t="shared" si="25"/>
        <v>Mar-2026</v>
      </c>
      <c r="L214" t="str">
        <f t="shared" si="26"/>
        <v>Senior (60+)</v>
      </c>
      <c r="M214" s="8">
        <f t="shared" si="27"/>
        <v>5.04</v>
      </c>
      <c r="N214" t="str">
        <f t="shared" si="28"/>
        <v>Needs Review</v>
      </c>
      <c r="O214" t="str">
        <f t="shared" si="29"/>
        <v>POL</v>
      </c>
      <c r="P214" t="str">
        <f t="shared" si="30"/>
        <v>TRAVEL</v>
      </c>
      <c r="Q214">
        <f t="shared" ca="1" si="31"/>
        <v>113</v>
      </c>
    </row>
    <row r="215" spans="1:17" ht="15" customHeight="1" x14ac:dyDescent="0.35">
      <c r="A215">
        <v>212</v>
      </c>
      <c r="B215" t="s">
        <v>236</v>
      </c>
      <c r="C215" s="3">
        <v>45905</v>
      </c>
      <c r="D215" t="s">
        <v>12</v>
      </c>
      <c r="E215" s="6">
        <v>67</v>
      </c>
      <c r="F215" s="7">
        <v>329.82</v>
      </c>
      <c r="G215" s="7">
        <v>2356.31</v>
      </c>
      <c r="H215" t="s">
        <v>38</v>
      </c>
      <c r="I215" t="s">
        <v>321</v>
      </c>
      <c r="J215" s="6">
        <f t="shared" si="24"/>
        <v>2025</v>
      </c>
      <c r="K215" t="str">
        <f t="shared" si="25"/>
        <v>Sep-2025</v>
      </c>
      <c r="L215" t="str">
        <f t="shared" si="26"/>
        <v>Senior (60+)</v>
      </c>
      <c r="M215" s="8">
        <f t="shared" si="27"/>
        <v>7.14</v>
      </c>
      <c r="N215" t="str">
        <f t="shared" si="28"/>
        <v>Needs Review</v>
      </c>
      <c r="O215" t="str">
        <f t="shared" si="29"/>
        <v>POL</v>
      </c>
      <c r="P215" t="str">
        <f t="shared" si="30"/>
        <v>MOTOR</v>
      </c>
      <c r="Q215">
        <f t="shared" ca="1" si="31"/>
        <v>258</v>
      </c>
    </row>
    <row r="216" spans="1:17" ht="15" customHeight="1" x14ac:dyDescent="0.35">
      <c r="A216">
        <v>213</v>
      </c>
      <c r="B216" t="s">
        <v>237</v>
      </c>
      <c r="C216" s="3">
        <v>46012</v>
      </c>
      <c r="D216" t="s">
        <v>9</v>
      </c>
      <c r="E216" s="6">
        <v>46</v>
      </c>
      <c r="F216" s="7">
        <v>343.71</v>
      </c>
      <c r="G216" s="7">
        <v>0</v>
      </c>
      <c r="H216" t="s">
        <v>10</v>
      </c>
      <c r="I216" t="s">
        <v>318</v>
      </c>
      <c r="J216" s="6">
        <f t="shared" si="24"/>
        <v>2025</v>
      </c>
      <c r="K216" t="str">
        <f t="shared" si="25"/>
        <v>Dec-2025</v>
      </c>
      <c r="L216" t="str">
        <f t="shared" si="26"/>
        <v>Mid-Age (41-60)</v>
      </c>
      <c r="M216" s="8">
        <f t="shared" si="27"/>
        <v>0</v>
      </c>
      <c r="N216" t="str">
        <f t="shared" si="28"/>
        <v>Normal</v>
      </c>
      <c r="O216" t="str">
        <f t="shared" si="29"/>
        <v>POL</v>
      </c>
      <c r="P216" t="str">
        <f t="shared" si="30"/>
        <v>LIFE</v>
      </c>
      <c r="Q216">
        <f t="shared" ca="1" si="31"/>
        <v>182</v>
      </c>
    </row>
    <row r="217" spans="1:17" ht="15" customHeight="1" x14ac:dyDescent="0.35">
      <c r="A217">
        <v>214</v>
      </c>
      <c r="B217" t="s">
        <v>238</v>
      </c>
      <c r="C217" s="3">
        <v>45805</v>
      </c>
      <c r="D217" t="s">
        <v>12</v>
      </c>
      <c r="E217" s="6">
        <v>28</v>
      </c>
      <c r="F217" s="7">
        <v>217.24</v>
      </c>
      <c r="G217" s="7">
        <v>0</v>
      </c>
      <c r="H217" t="s">
        <v>10</v>
      </c>
      <c r="I217" t="s">
        <v>318</v>
      </c>
      <c r="J217" s="6">
        <f t="shared" si="24"/>
        <v>2025</v>
      </c>
      <c r="K217" t="str">
        <f t="shared" si="25"/>
        <v>May-2025</v>
      </c>
      <c r="L217" t="str">
        <f t="shared" si="26"/>
        <v>Adult (25-40)</v>
      </c>
      <c r="M217" s="8">
        <f t="shared" si="27"/>
        <v>0</v>
      </c>
      <c r="N217" t="str">
        <f t="shared" si="28"/>
        <v>Normal</v>
      </c>
      <c r="O217" t="str">
        <f t="shared" si="29"/>
        <v>POL</v>
      </c>
      <c r="P217" t="str">
        <f t="shared" si="30"/>
        <v>MOTOR</v>
      </c>
      <c r="Q217">
        <f t="shared" ca="1" si="31"/>
        <v>330</v>
      </c>
    </row>
    <row r="218" spans="1:17" ht="15" customHeight="1" x14ac:dyDescent="0.35">
      <c r="A218">
        <v>215</v>
      </c>
      <c r="B218" t="s">
        <v>239</v>
      </c>
      <c r="C218" s="3">
        <v>45753</v>
      </c>
      <c r="D218" t="s">
        <v>19</v>
      </c>
      <c r="E218" s="6">
        <v>51</v>
      </c>
      <c r="F218" s="7">
        <v>303.31</v>
      </c>
      <c r="G218" s="7">
        <v>0</v>
      </c>
      <c r="H218" t="s">
        <v>10</v>
      </c>
      <c r="I218" t="s">
        <v>318</v>
      </c>
      <c r="J218" s="6">
        <f t="shared" si="24"/>
        <v>2025</v>
      </c>
      <c r="K218" t="str">
        <f t="shared" si="25"/>
        <v>Apr-2025</v>
      </c>
      <c r="L218" t="str">
        <f t="shared" si="26"/>
        <v>Mid-Age (41-60)</v>
      </c>
      <c r="M218" s="8">
        <f t="shared" si="27"/>
        <v>0</v>
      </c>
      <c r="N218" t="str">
        <f t="shared" si="28"/>
        <v>Normal</v>
      </c>
      <c r="O218" t="str">
        <f t="shared" si="29"/>
        <v>POL</v>
      </c>
      <c r="P218" t="str">
        <f t="shared" si="30"/>
        <v>HEALTH</v>
      </c>
      <c r="Q218">
        <f t="shared" ca="1" si="31"/>
        <v>367</v>
      </c>
    </row>
    <row r="219" spans="1:17" ht="15" customHeight="1" x14ac:dyDescent="0.35">
      <c r="A219">
        <v>216</v>
      </c>
      <c r="B219" t="s">
        <v>240</v>
      </c>
      <c r="C219" s="3">
        <v>46107</v>
      </c>
      <c r="D219" t="s">
        <v>19</v>
      </c>
      <c r="E219" s="6">
        <v>37</v>
      </c>
      <c r="F219" s="7">
        <v>310.33</v>
      </c>
      <c r="G219" s="7">
        <v>1618.29</v>
      </c>
      <c r="H219" t="s">
        <v>38</v>
      </c>
      <c r="I219" t="s">
        <v>324</v>
      </c>
      <c r="J219" s="6">
        <f t="shared" si="24"/>
        <v>2026</v>
      </c>
      <c r="K219" t="str">
        <f t="shared" si="25"/>
        <v>Mar-2026</v>
      </c>
      <c r="L219" t="str">
        <f t="shared" si="26"/>
        <v>Adult (25-40)</v>
      </c>
      <c r="M219" s="8">
        <f t="shared" si="27"/>
        <v>5.21</v>
      </c>
      <c r="N219" t="str">
        <f t="shared" si="28"/>
        <v>Needs Review</v>
      </c>
      <c r="O219" t="str">
        <f t="shared" si="29"/>
        <v>POL</v>
      </c>
      <c r="P219" t="str">
        <f t="shared" si="30"/>
        <v>HEALTH</v>
      </c>
      <c r="Q219">
        <f t="shared" ca="1" si="31"/>
        <v>114</v>
      </c>
    </row>
    <row r="220" spans="1:17" ht="15" customHeight="1" x14ac:dyDescent="0.35">
      <c r="A220">
        <v>217</v>
      </c>
      <c r="B220" t="s">
        <v>241</v>
      </c>
      <c r="C220" s="3">
        <v>45672</v>
      </c>
      <c r="D220" t="s">
        <v>12</v>
      </c>
      <c r="E220" s="6">
        <v>54</v>
      </c>
      <c r="F220" s="7">
        <v>226.52</v>
      </c>
      <c r="G220" s="7">
        <v>0</v>
      </c>
      <c r="H220" t="s">
        <v>10</v>
      </c>
      <c r="I220" t="s">
        <v>318</v>
      </c>
      <c r="J220" s="6">
        <f t="shared" si="24"/>
        <v>2025</v>
      </c>
      <c r="K220" t="str">
        <f t="shared" si="25"/>
        <v>Jan-2025</v>
      </c>
      <c r="L220" t="str">
        <f t="shared" si="26"/>
        <v>Mid-Age (41-60)</v>
      </c>
      <c r="M220" s="8">
        <f t="shared" si="27"/>
        <v>0</v>
      </c>
      <c r="N220" t="str">
        <f t="shared" si="28"/>
        <v>Normal</v>
      </c>
      <c r="O220" t="str">
        <f t="shared" si="29"/>
        <v>POL</v>
      </c>
      <c r="P220" t="str">
        <f t="shared" si="30"/>
        <v>MOTOR</v>
      </c>
      <c r="Q220">
        <f t="shared" ca="1" si="31"/>
        <v>425</v>
      </c>
    </row>
    <row r="221" spans="1:17" ht="15" customHeight="1" x14ac:dyDescent="0.35">
      <c r="A221">
        <v>218</v>
      </c>
      <c r="B221" t="s">
        <v>242</v>
      </c>
      <c r="C221" s="3">
        <v>45939</v>
      </c>
      <c r="D221" t="s">
        <v>12</v>
      </c>
      <c r="E221" s="6">
        <v>51</v>
      </c>
      <c r="F221" s="7">
        <v>349.38</v>
      </c>
      <c r="G221" s="7">
        <v>1106.1099999999999</v>
      </c>
      <c r="H221" t="s">
        <v>17</v>
      </c>
      <c r="I221" t="s">
        <v>316</v>
      </c>
      <c r="J221" s="6">
        <f t="shared" si="24"/>
        <v>2025</v>
      </c>
      <c r="K221" t="str">
        <f t="shared" si="25"/>
        <v>Oct-2025</v>
      </c>
      <c r="L221" t="str">
        <f t="shared" si="26"/>
        <v>Mid-Age (41-60)</v>
      </c>
      <c r="M221" s="8">
        <f t="shared" si="27"/>
        <v>3.17</v>
      </c>
      <c r="N221" t="str">
        <f t="shared" si="28"/>
        <v>Normal</v>
      </c>
      <c r="O221" t="str">
        <f t="shared" si="29"/>
        <v>POL</v>
      </c>
      <c r="P221" t="str">
        <f t="shared" si="30"/>
        <v>MOTOR</v>
      </c>
      <c r="Q221">
        <f t="shared" ca="1" si="31"/>
        <v>234</v>
      </c>
    </row>
    <row r="222" spans="1:17" ht="15" customHeight="1" x14ac:dyDescent="0.35">
      <c r="A222">
        <v>219</v>
      </c>
      <c r="B222" t="s">
        <v>243</v>
      </c>
      <c r="C222" s="3">
        <v>45711</v>
      </c>
      <c r="D222" t="s">
        <v>19</v>
      </c>
      <c r="E222" s="6">
        <v>46</v>
      </c>
      <c r="F222" s="7">
        <v>430.05</v>
      </c>
      <c r="G222" s="7">
        <v>3006.35</v>
      </c>
      <c r="H222" t="s">
        <v>17</v>
      </c>
      <c r="I222" t="s">
        <v>319</v>
      </c>
      <c r="J222" s="6">
        <f t="shared" si="24"/>
        <v>2025</v>
      </c>
      <c r="K222" t="str">
        <f t="shared" si="25"/>
        <v>Feb-2025</v>
      </c>
      <c r="L222" t="str">
        <f t="shared" si="26"/>
        <v>Mid-Age (41-60)</v>
      </c>
      <c r="M222" s="8">
        <f t="shared" si="27"/>
        <v>6.99</v>
      </c>
      <c r="N222" t="str">
        <f t="shared" si="28"/>
        <v>High-Value Approved</v>
      </c>
      <c r="O222" t="str">
        <f t="shared" si="29"/>
        <v>POL</v>
      </c>
      <c r="P222" t="str">
        <f t="shared" si="30"/>
        <v>HEALTH</v>
      </c>
      <c r="Q222">
        <f t="shared" ca="1" si="31"/>
        <v>397</v>
      </c>
    </row>
    <row r="223" spans="1:17" ht="15" customHeight="1" x14ac:dyDescent="0.35">
      <c r="A223">
        <v>220</v>
      </c>
      <c r="B223" t="s">
        <v>245</v>
      </c>
      <c r="C223" s="3">
        <v>45960</v>
      </c>
      <c r="D223" t="s">
        <v>40</v>
      </c>
      <c r="E223" s="6">
        <v>30</v>
      </c>
      <c r="F223" s="7">
        <v>107.14</v>
      </c>
      <c r="G223" s="7">
        <v>0</v>
      </c>
      <c r="H223" t="s">
        <v>10</v>
      </c>
      <c r="I223" t="s">
        <v>318</v>
      </c>
      <c r="J223" s="6">
        <f t="shared" si="24"/>
        <v>2025</v>
      </c>
      <c r="K223" t="str">
        <f t="shared" si="25"/>
        <v>Oct-2025</v>
      </c>
      <c r="L223" t="str">
        <f t="shared" si="26"/>
        <v>Adult (25-40)</v>
      </c>
      <c r="M223" s="8">
        <f t="shared" si="27"/>
        <v>0</v>
      </c>
      <c r="N223" t="str">
        <f t="shared" si="28"/>
        <v>Normal</v>
      </c>
      <c r="O223" t="str">
        <f t="shared" si="29"/>
        <v>POL</v>
      </c>
      <c r="P223" t="str">
        <f t="shared" si="30"/>
        <v>TRAVEL</v>
      </c>
      <c r="Q223">
        <f t="shared" ca="1" si="31"/>
        <v>219</v>
      </c>
    </row>
    <row r="224" spans="1:17" ht="15" customHeight="1" x14ac:dyDescent="0.35">
      <c r="A224">
        <v>221</v>
      </c>
      <c r="B224" t="s">
        <v>246</v>
      </c>
      <c r="C224" s="3">
        <v>45803</v>
      </c>
      <c r="D224" t="s">
        <v>19</v>
      </c>
      <c r="E224" s="6">
        <v>70</v>
      </c>
      <c r="F224" s="7">
        <v>365.7</v>
      </c>
      <c r="G224" s="7">
        <v>2247.67</v>
      </c>
      <c r="H224" t="s">
        <v>13</v>
      </c>
      <c r="I224" t="s">
        <v>318</v>
      </c>
      <c r="J224" s="6">
        <f t="shared" si="24"/>
        <v>2025</v>
      </c>
      <c r="K224" t="str">
        <f t="shared" si="25"/>
        <v>May-2025</v>
      </c>
      <c r="L224" t="str">
        <f t="shared" si="26"/>
        <v>Senior (60+)</v>
      </c>
      <c r="M224" s="8">
        <f t="shared" si="27"/>
        <v>6.15</v>
      </c>
      <c r="N224" t="str">
        <f t="shared" si="28"/>
        <v>Needs Review</v>
      </c>
      <c r="O224" t="str">
        <f t="shared" si="29"/>
        <v>POL</v>
      </c>
      <c r="P224" t="str">
        <f t="shared" si="30"/>
        <v>HEALTH</v>
      </c>
      <c r="Q224">
        <f t="shared" ca="1" si="31"/>
        <v>332</v>
      </c>
    </row>
    <row r="225" spans="1:17" ht="15" customHeight="1" x14ac:dyDescent="0.35">
      <c r="A225">
        <v>222</v>
      </c>
      <c r="B225" t="s">
        <v>247</v>
      </c>
      <c r="C225" s="3">
        <v>46140</v>
      </c>
      <c r="D225" t="s">
        <v>9</v>
      </c>
      <c r="E225" s="6">
        <v>71</v>
      </c>
      <c r="F225" s="7">
        <v>321.7</v>
      </c>
      <c r="G225" s="7">
        <v>0</v>
      </c>
      <c r="H225" t="s">
        <v>10</v>
      </c>
      <c r="I225" t="s">
        <v>318</v>
      </c>
      <c r="J225" s="6">
        <f t="shared" si="24"/>
        <v>2026</v>
      </c>
      <c r="K225" t="str">
        <f t="shared" si="25"/>
        <v>Apr-2026</v>
      </c>
      <c r="L225" t="str">
        <f t="shared" si="26"/>
        <v>Senior (60+)</v>
      </c>
      <c r="M225" s="8">
        <f t="shared" si="27"/>
        <v>0</v>
      </c>
      <c r="N225" t="str">
        <f t="shared" si="28"/>
        <v>Normal</v>
      </c>
      <c r="O225" t="str">
        <f t="shared" si="29"/>
        <v>POL</v>
      </c>
      <c r="P225" t="str">
        <f t="shared" si="30"/>
        <v>LIFE</v>
      </c>
      <c r="Q225">
        <f t="shared" ca="1" si="31"/>
        <v>91</v>
      </c>
    </row>
    <row r="226" spans="1:17" ht="15" customHeight="1" x14ac:dyDescent="0.35">
      <c r="A226">
        <v>223</v>
      </c>
      <c r="B226" t="s">
        <v>248</v>
      </c>
      <c r="C226" s="3">
        <v>46175</v>
      </c>
      <c r="D226" t="s">
        <v>9</v>
      </c>
      <c r="E226" s="6">
        <v>42</v>
      </c>
      <c r="F226" s="7">
        <v>362.48</v>
      </c>
      <c r="G226" s="7">
        <v>0</v>
      </c>
      <c r="H226" t="s">
        <v>10</v>
      </c>
      <c r="I226" t="s">
        <v>318</v>
      </c>
      <c r="J226" s="6">
        <f t="shared" si="24"/>
        <v>2026</v>
      </c>
      <c r="K226" t="str">
        <f t="shared" si="25"/>
        <v>Jun-2026</v>
      </c>
      <c r="L226" t="str">
        <f t="shared" si="26"/>
        <v>Mid-Age (41-60)</v>
      </c>
      <c r="M226" s="8">
        <f t="shared" si="27"/>
        <v>0</v>
      </c>
      <c r="N226" t="str">
        <f t="shared" si="28"/>
        <v>Normal</v>
      </c>
      <c r="O226" t="str">
        <f t="shared" si="29"/>
        <v>POL</v>
      </c>
      <c r="P226" t="str">
        <f t="shared" si="30"/>
        <v>LIFE</v>
      </c>
      <c r="Q226">
        <f t="shared" ca="1" si="31"/>
        <v>66</v>
      </c>
    </row>
    <row r="227" spans="1:17" ht="15" customHeight="1" x14ac:dyDescent="0.35">
      <c r="A227">
        <v>224</v>
      </c>
      <c r="B227" t="s">
        <v>249</v>
      </c>
      <c r="C227" s="3">
        <v>45764</v>
      </c>
      <c r="D227" t="s">
        <v>16</v>
      </c>
      <c r="E227" s="6">
        <v>19</v>
      </c>
      <c r="F227" s="7">
        <v>453.01</v>
      </c>
      <c r="G227" s="7">
        <v>0</v>
      </c>
      <c r="H227" t="s">
        <v>10</v>
      </c>
      <c r="I227" t="s">
        <v>318</v>
      </c>
      <c r="J227" s="6">
        <f t="shared" si="24"/>
        <v>2025</v>
      </c>
      <c r="K227" t="str">
        <f t="shared" si="25"/>
        <v>Apr-2025</v>
      </c>
      <c r="L227" t="str">
        <f t="shared" si="26"/>
        <v>Young (18-24)</v>
      </c>
      <c r="M227" s="8">
        <f t="shared" si="27"/>
        <v>0</v>
      </c>
      <c r="N227" t="str">
        <f t="shared" si="28"/>
        <v>Normal</v>
      </c>
      <c r="O227" t="str">
        <f t="shared" si="29"/>
        <v>POL</v>
      </c>
      <c r="P227" t="str">
        <f t="shared" si="30"/>
        <v>PROPERTY</v>
      </c>
      <c r="Q227">
        <f t="shared" ca="1" si="31"/>
        <v>359</v>
      </c>
    </row>
    <row r="228" spans="1:17" ht="15" customHeight="1" x14ac:dyDescent="0.35">
      <c r="A228">
        <v>225</v>
      </c>
      <c r="B228" t="s">
        <v>250</v>
      </c>
      <c r="C228" s="3">
        <v>45939</v>
      </c>
      <c r="D228" t="s">
        <v>40</v>
      </c>
      <c r="E228" s="6">
        <v>62</v>
      </c>
      <c r="F228" s="7">
        <v>82.95</v>
      </c>
      <c r="G228" s="7">
        <v>392.84</v>
      </c>
      <c r="H228" t="s">
        <v>30</v>
      </c>
      <c r="I228" t="s">
        <v>316</v>
      </c>
      <c r="J228" s="6">
        <f t="shared" si="24"/>
        <v>2025</v>
      </c>
      <c r="K228" t="str">
        <f t="shared" si="25"/>
        <v>Oct-2025</v>
      </c>
      <c r="L228" t="str">
        <f t="shared" si="26"/>
        <v>Senior (60+)</v>
      </c>
      <c r="M228" s="8">
        <f t="shared" si="27"/>
        <v>4.74</v>
      </c>
      <c r="N228" t="str">
        <f t="shared" si="28"/>
        <v>Normal</v>
      </c>
      <c r="O228" t="str">
        <f t="shared" si="29"/>
        <v>POL</v>
      </c>
      <c r="P228" t="str">
        <f t="shared" si="30"/>
        <v>TRAVEL</v>
      </c>
      <c r="Q228">
        <f t="shared" ca="1" si="31"/>
        <v>234</v>
      </c>
    </row>
    <row r="229" spans="1:17" ht="15" customHeight="1" x14ac:dyDescent="0.35">
      <c r="A229">
        <v>226</v>
      </c>
      <c r="B229" t="s">
        <v>251</v>
      </c>
      <c r="C229" s="3">
        <v>45939</v>
      </c>
      <c r="D229" t="s">
        <v>16</v>
      </c>
      <c r="E229" s="6">
        <v>65</v>
      </c>
      <c r="F229" s="7">
        <v>431.88</v>
      </c>
      <c r="G229" s="7">
        <v>0</v>
      </c>
      <c r="H229" t="s">
        <v>10</v>
      </c>
      <c r="I229" t="s">
        <v>316</v>
      </c>
      <c r="J229" s="6">
        <f t="shared" si="24"/>
        <v>2025</v>
      </c>
      <c r="K229" t="str">
        <f t="shared" si="25"/>
        <v>Oct-2025</v>
      </c>
      <c r="L229" t="str">
        <f t="shared" si="26"/>
        <v>Senior (60+)</v>
      </c>
      <c r="M229" s="8">
        <f t="shared" si="27"/>
        <v>0</v>
      </c>
      <c r="N229" t="str">
        <f t="shared" si="28"/>
        <v>Normal</v>
      </c>
      <c r="O229" t="str">
        <f t="shared" si="29"/>
        <v>POL</v>
      </c>
      <c r="P229" t="str">
        <f t="shared" si="30"/>
        <v>PROPERTY</v>
      </c>
      <c r="Q229">
        <f t="shared" ca="1" si="31"/>
        <v>234</v>
      </c>
    </row>
    <row r="230" spans="1:17" ht="15" customHeight="1" x14ac:dyDescent="0.35">
      <c r="A230">
        <v>227</v>
      </c>
      <c r="B230" t="s">
        <v>252</v>
      </c>
      <c r="C230" s="3">
        <v>46063</v>
      </c>
      <c r="D230" t="s">
        <v>9</v>
      </c>
      <c r="E230" s="6">
        <v>19</v>
      </c>
      <c r="F230" s="7">
        <v>343.27</v>
      </c>
      <c r="G230" s="7">
        <v>0</v>
      </c>
      <c r="H230" t="s">
        <v>10</v>
      </c>
      <c r="I230" t="s">
        <v>318</v>
      </c>
      <c r="J230" s="6">
        <f t="shared" si="24"/>
        <v>2026</v>
      </c>
      <c r="K230" t="str">
        <f t="shared" si="25"/>
        <v>Feb-2026</v>
      </c>
      <c r="L230" t="str">
        <f t="shared" si="26"/>
        <v>Young (18-24)</v>
      </c>
      <c r="M230" s="8">
        <f t="shared" si="27"/>
        <v>0</v>
      </c>
      <c r="N230" t="str">
        <f t="shared" si="28"/>
        <v>Normal</v>
      </c>
      <c r="O230" t="str">
        <f t="shared" si="29"/>
        <v>POL</v>
      </c>
      <c r="P230" t="str">
        <f t="shared" si="30"/>
        <v>LIFE</v>
      </c>
      <c r="Q230">
        <f t="shared" ca="1" si="31"/>
        <v>146</v>
      </c>
    </row>
    <row r="231" spans="1:17" ht="15" customHeight="1" x14ac:dyDescent="0.35">
      <c r="A231">
        <v>228</v>
      </c>
      <c r="B231" t="s">
        <v>253</v>
      </c>
      <c r="C231" s="3">
        <v>46039</v>
      </c>
      <c r="D231" t="s">
        <v>9</v>
      </c>
      <c r="E231" s="6">
        <v>51</v>
      </c>
      <c r="F231" s="7">
        <v>413.02</v>
      </c>
      <c r="G231" s="7">
        <v>0</v>
      </c>
      <c r="H231" t="s">
        <v>10</v>
      </c>
      <c r="I231" t="s">
        <v>320</v>
      </c>
      <c r="J231" s="6">
        <f t="shared" si="24"/>
        <v>2026</v>
      </c>
      <c r="K231" t="str">
        <f t="shared" si="25"/>
        <v>Jan-2026</v>
      </c>
      <c r="L231" t="str">
        <f t="shared" si="26"/>
        <v>Mid-Age (41-60)</v>
      </c>
      <c r="M231" s="8">
        <f t="shared" si="27"/>
        <v>0</v>
      </c>
      <c r="N231" t="str">
        <f t="shared" si="28"/>
        <v>Normal</v>
      </c>
      <c r="O231" t="str">
        <f t="shared" si="29"/>
        <v>POL</v>
      </c>
      <c r="P231" t="str">
        <f t="shared" si="30"/>
        <v>LIFE</v>
      </c>
      <c r="Q231">
        <f t="shared" ca="1" si="31"/>
        <v>162</v>
      </c>
    </row>
    <row r="232" spans="1:17" ht="15" customHeight="1" x14ac:dyDescent="0.35">
      <c r="A232">
        <v>229</v>
      </c>
      <c r="B232" t="s">
        <v>254</v>
      </c>
      <c r="C232" s="3">
        <v>45867</v>
      </c>
      <c r="D232" t="s">
        <v>12</v>
      </c>
      <c r="E232" s="6">
        <v>58</v>
      </c>
      <c r="F232" s="7">
        <v>325.07</v>
      </c>
      <c r="G232" s="7">
        <v>0</v>
      </c>
      <c r="H232" t="s">
        <v>38</v>
      </c>
      <c r="I232" t="s">
        <v>321</v>
      </c>
      <c r="J232" s="6">
        <f t="shared" si="24"/>
        <v>2025</v>
      </c>
      <c r="K232" t="str">
        <f t="shared" si="25"/>
        <v>Jul-2025</v>
      </c>
      <c r="L232" t="str">
        <f t="shared" si="26"/>
        <v>Mid-Age (41-60)</v>
      </c>
      <c r="M232" s="8">
        <f t="shared" si="27"/>
        <v>0</v>
      </c>
      <c r="N232" t="str">
        <f t="shared" si="28"/>
        <v>Needs Review</v>
      </c>
      <c r="O232" t="str">
        <f t="shared" si="29"/>
        <v>POL</v>
      </c>
      <c r="P232" t="str">
        <f t="shared" si="30"/>
        <v>MOTOR</v>
      </c>
      <c r="Q232">
        <f t="shared" ca="1" si="31"/>
        <v>286</v>
      </c>
    </row>
    <row r="233" spans="1:17" ht="15" customHeight="1" x14ac:dyDescent="0.35">
      <c r="A233">
        <v>230</v>
      </c>
      <c r="B233" t="s">
        <v>255</v>
      </c>
      <c r="C233" s="3">
        <v>45742</v>
      </c>
      <c r="D233" t="s">
        <v>16</v>
      </c>
      <c r="E233" s="6">
        <v>77</v>
      </c>
      <c r="F233" s="7">
        <v>413.96</v>
      </c>
      <c r="G233" s="7">
        <v>0</v>
      </c>
      <c r="H233" t="s">
        <v>10</v>
      </c>
      <c r="I233" t="s">
        <v>318</v>
      </c>
      <c r="J233" s="6">
        <f t="shared" si="24"/>
        <v>2025</v>
      </c>
      <c r="K233" t="str">
        <f t="shared" si="25"/>
        <v>Mar-2025</v>
      </c>
      <c r="L233" t="str">
        <f t="shared" si="26"/>
        <v>Senior (60+)</v>
      </c>
      <c r="M233" s="8">
        <f t="shared" si="27"/>
        <v>0</v>
      </c>
      <c r="N233" t="str">
        <f t="shared" si="28"/>
        <v>Normal</v>
      </c>
      <c r="O233" t="str">
        <f t="shared" si="29"/>
        <v>POL</v>
      </c>
      <c r="P233" t="str">
        <f t="shared" si="30"/>
        <v>PROPERTY</v>
      </c>
      <c r="Q233">
        <f t="shared" ca="1" si="31"/>
        <v>375</v>
      </c>
    </row>
    <row r="234" spans="1:17" ht="15" customHeight="1" x14ac:dyDescent="0.35">
      <c r="A234">
        <v>231</v>
      </c>
      <c r="B234" t="s">
        <v>256</v>
      </c>
      <c r="C234" s="3">
        <v>46073</v>
      </c>
      <c r="D234" t="s">
        <v>19</v>
      </c>
      <c r="E234" s="6">
        <v>72</v>
      </c>
      <c r="F234" s="7">
        <v>341.88</v>
      </c>
      <c r="G234" s="7">
        <v>698.12</v>
      </c>
      <c r="H234" t="s">
        <v>17</v>
      </c>
      <c r="I234" t="s">
        <v>320</v>
      </c>
      <c r="J234" s="6">
        <f t="shared" si="24"/>
        <v>2026</v>
      </c>
      <c r="K234" t="str">
        <f t="shared" si="25"/>
        <v>Feb-2026</v>
      </c>
      <c r="L234" t="str">
        <f t="shared" si="26"/>
        <v>Senior (60+)</v>
      </c>
      <c r="M234" s="8">
        <f t="shared" si="27"/>
        <v>2.04</v>
      </c>
      <c r="N234" t="str">
        <f t="shared" si="28"/>
        <v>Normal</v>
      </c>
      <c r="O234" t="str">
        <f t="shared" si="29"/>
        <v>POL</v>
      </c>
      <c r="P234" t="str">
        <f t="shared" si="30"/>
        <v>HEALTH</v>
      </c>
      <c r="Q234">
        <f t="shared" ca="1" si="31"/>
        <v>138</v>
      </c>
    </row>
    <row r="235" spans="1:17" ht="15" customHeight="1" x14ac:dyDescent="0.35">
      <c r="A235">
        <v>232</v>
      </c>
      <c r="B235" t="s">
        <v>258</v>
      </c>
      <c r="C235" s="3">
        <v>45687</v>
      </c>
      <c r="D235" t="s">
        <v>16</v>
      </c>
      <c r="E235" s="6">
        <v>22</v>
      </c>
      <c r="F235" s="7">
        <v>374.71</v>
      </c>
      <c r="G235" s="7">
        <v>0</v>
      </c>
      <c r="H235" t="s">
        <v>10</v>
      </c>
      <c r="I235" t="s">
        <v>318</v>
      </c>
      <c r="J235" s="6">
        <f t="shared" si="24"/>
        <v>2025</v>
      </c>
      <c r="K235" t="str">
        <f t="shared" si="25"/>
        <v>Jan-2025</v>
      </c>
      <c r="L235" t="str">
        <f t="shared" si="26"/>
        <v>Young (18-24)</v>
      </c>
      <c r="M235" s="8">
        <f t="shared" si="27"/>
        <v>0</v>
      </c>
      <c r="N235" t="str">
        <f t="shared" si="28"/>
        <v>Normal</v>
      </c>
      <c r="O235" t="str">
        <f t="shared" si="29"/>
        <v>POL</v>
      </c>
      <c r="P235" t="str">
        <f t="shared" si="30"/>
        <v>PROPERTY</v>
      </c>
      <c r="Q235">
        <f t="shared" ca="1" si="31"/>
        <v>414</v>
      </c>
    </row>
    <row r="236" spans="1:17" ht="15" customHeight="1" x14ac:dyDescent="0.35">
      <c r="A236">
        <v>233</v>
      </c>
      <c r="B236" t="s">
        <v>259</v>
      </c>
      <c r="C236" s="3">
        <v>45713</v>
      </c>
      <c r="D236" t="s">
        <v>19</v>
      </c>
      <c r="E236" s="6">
        <v>48</v>
      </c>
      <c r="F236" s="7">
        <v>317.73</v>
      </c>
      <c r="G236" s="7">
        <v>0</v>
      </c>
      <c r="H236" t="s">
        <v>10</v>
      </c>
      <c r="I236" t="s">
        <v>318</v>
      </c>
      <c r="J236" s="6">
        <f t="shared" si="24"/>
        <v>2025</v>
      </c>
      <c r="K236" t="str">
        <f t="shared" si="25"/>
        <v>Feb-2025</v>
      </c>
      <c r="L236" t="str">
        <f t="shared" si="26"/>
        <v>Mid-Age (41-60)</v>
      </c>
      <c r="M236" s="8">
        <f t="shared" si="27"/>
        <v>0</v>
      </c>
      <c r="N236" t="str">
        <f t="shared" si="28"/>
        <v>Normal</v>
      </c>
      <c r="O236" t="str">
        <f t="shared" si="29"/>
        <v>POL</v>
      </c>
      <c r="P236" t="str">
        <f t="shared" si="30"/>
        <v>HEALTH</v>
      </c>
      <c r="Q236">
        <f t="shared" ca="1" si="31"/>
        <v>396</v>
      </c>
    </row>
    <row r="237" spans="1:17" ht="15" customHeight="1" x14ac:dyDescent="0.35">
      <c r="A237">
        <v>234</v>
      </c>
      <c r="B237" t="s">
        <v>260</v>
      </c>
      <c r="C237" s="3">
        <v>45939</v>
      </c>
      <c r="D237" t="s">
        <v>12</v>
      </c>
      <c r="E237" s="6">
        <v>51</v>
      </c>
      <c r="F237" s="7">
        <v>215.49</v>
      </c>
      <c r="G237" s="7">
        <v>2409.1799999999998</v>
      </c>
      <c r="H237" t="s">
        <v>17</v>
      </c>
      <c r="I237" t="s">
        <v>318</v>
      </c>
      <c r="J237" s="6">
        <f t="shared" si="24"/>
        <v>2025</v>
      </c>
      <c r="K237" t="str">
        <f t="shared" si="25"/>
        <v>Oct-2025</v>
      </c>
      <c r="L237" t="str">
        <f t="shared" si="26"/>
        <v>Mid-Age (41-60)</v>
      </c>
      <c r="M237" s="8">
        <f t="shared" si="27"/>
        <v>11.18</v>
      </c>
      <c r="N237" t="str">
        <f t="shared" si="28"/>
        <v>Normal</v>
      </c>
      <c r="O237" t="str">
        <f t="shared" si="29"/>
        <v>POL</v>
      </c>
      <c r="P237" t="str">
        <f t="shared" si="30"/>
        <v>MOTOR</v>
      </c>
      <c r="Q237">
        <f t="shared" ca="1" si="31"/>
        <v>234</v>
      </c>
    </row>
    <row r="238" spans="1:17" ht="15" customHeight="1" x14ac:dyDescent="0.35">
      <c r="A238">
        <v>235</v>
      </c>
      <c r="B238" t="s">
        <v>261</v>
      </c>
      <c r="C238" s="3">
        <v>46119</v>
      </c>
      <c r="D238" t="s">
        <v>9</v>
      </c>
      <c r="E238" s="6">
        <v>50</v>
      </c>
      <c r="F238" s="7">
        <v>372.44</v>
      </c>
      <c r="G238" s="7">
        <v>0</v>
      </c>
      <c r="H238" t="s">
        <v>10</v>
      </c>
      <c r="I238" t="s">
        <v>318</v>
      </c>
      <c r="J238" s="6">
        <f t="shared" si="24"/>
        <v>2026</v>
      </c>
      <c r="K238" t="str">
        <f t="shared" si="25"/>
        <v>Apr-2026</v>
      </c>
      <c r="L238" t="str">
        <f t="shared" si="26"/>
        <v>Mid-Age (41-60)</v>
      </c>
      <c r="M238" s="8">
        <f t="shared" si="27"/>
        <v>0</v>
      </c>
      <c r="N238" t="str">
        <f t="shared" si="28"/>
        <v>Normal</v>
      </c>
      <c r="O238" t="str">
        <f t="shared" si="29"/>
        <v>POL</v>
      </c>
      <c r="P238" t="str">
        <f t="shared" si="30"/>
        <v>LIFE</v>
      </c>
      <c r="Q238">
        <f t="shared" ca="1" si="31"/>
        <v>106</v>
      </c>
    </row>
    <row r="239" spans="1:17" ht="15" customHeight="1" x14ac:dyDescent="0.35">
      <c r="A239">
        <v>236</v>
      </c>
      <c r="B239" t="s">
        <v>262</v>
      </c>
      <c r="C239" s="3">
        <v>46028</v>
      </c>
      <c r="D239" t="s">
        <v>19</v>
      </c>
      <c r="E239" s="6">
        <v>58</v>
      </c>
      <c r="F239" s="7">
        <v>378.74</v>
      </c>
      <c r="G239" s="7">
        <v>0</v>
      </c>
      <c r="H239" t="s">
        <v>10</v>
      </c>
      <c r="I239" t="s">
        <v>322</v>
      </c>
      <c r="J239" s="6">
        <f t="shared" si="24"/>
        <v>2026</v>
      </c>
      <c r="K239" t="str">
        <f t="shared" si="25"/>
        <v>Jan-2026</v>
      </c>
      <c r="L239" t="str">
        <f t="shared" si="26"/>
        <v>Mid-Age (41-60)</v>
      </c>
      <c r="M239" s="8">
        <f t="shared" si="27"/>
        <v>0</v>
      </c>
      <c r="N239" t="str">
        <f t="shared" si="28"/>
        <v>Normal</v>
      </c>
      <c r="O239" t="str">
        <f t="shared" si="29"/>
        <v>POL</v>
      </c>
      <c r="P239" t="str">
        <f t="shared" si="30"/>
        <v>HEALTH</v>
      </c>
      <c r="Q239">
        <f t="shared" ca="1" si="31"/>
        <v>171</v>
      </c>
    </row>
    <row r="240" spans="1:17" ht="15" customHeight="1" x14ac:dyDescent="0.35">
      <c r="A240">
        <v>237</v>
      </c>
      <c r="B240" t="s">
        <v>263</v>
      </c>
      <c r="C240" s="3">
        <v>46019</v>
      </c>
      <c r="D240" t="s">
        <v>19</v>
      </c>
      <c r="E240" s="6">
        <v>46</v>
      </c>
      <c r="F240" s="7">
        <v>346.65</v>
      </c>
      <c r="G240" s="7">
        <v>2892.68</v>
      </c>
      <c r="H240" t="s">
        <v>13</v>
      </c>
      <c r="I240" t="s">
        <v>319</v>
      </c>
      <c r="J240" s="6">
        <f t="shared" si="24"/>
        <v>2025</v>
      </c>
      <c r="K240" t="str">
        <f t="shared" si="25"/>
        <v>Dec-2025</v>
      </c>
      <c r="L240" t="str">
        <f t="shared" si="26"/>
        <v>Mid-Age (41-60)</v>
      </c>
      <c r="M240" s="8">
        <f t="shared" si="27"/>
        <v>8.34</v>
      </c>
      <c r="N240" t="str">
        <f t="shared" si="28"/>
        <v>Needs Review</v>
      </c>
      <c r="O240" t="str">
        <f t="shared" si="29"/>
        <v>POL</v>
      </c>
      <c r="P240" t="str">
        <f t="shared" si="30"/>
        <v>HEALTH</v>
      </c>
      <c r="Q240">
        <f t="shared" ca="1" si="31"/>
        <v>177</v>
      </c>
    </row>
    <row r="241" spans="1:17" ht="15" customHeight="1" x14ac:dyDescent="0.35">
      <c r="A241">
        <v>238</v>
      </c>
      <c r="B241" t="s">
        <v>264</v>
      </c>
      <c r="C241" s="3">
        <v>45724</v>
      </c>
      <c r="D241" t="s">
        <v>9</v>
      </c>
      <c r="E241" s="6">
        <v>59</v>
      </c>
      <c r="F241" s="7">
        <v>372.8</v>
      </c>
      <c r="G241" s="7">
        <v>0</v>
      </c>
      <c r="H241" t="s">
        <v>10</v>
      </c>
      <c r="I241" t="s">
        <v>318</v>
      </c>
      <c r="J241" s="6">
        <f t="shared" si="24"/>
        <v>2025</v>
      </c>
      <c r="K241" t="str">
        <f t="shared" si="25"/>
        <v>Mar-2025</v>
      </c>
      <c r="L241" t="str">
        <f t="shared" si="26"/>
        <v>Mid-Age (41-60)</v>
      </c>
      <c r="M241" s="8">
        <f t="shared" si="27"/>
        <v>0</v>
      </c>
      <c r="N241" t="str">
        <f t="shared" si="28"/>
        <v>Normal</v>
      </c>
      <c r="O241" t="str">
        <f t="shared" si="29"/>
        <v>POL</v>
      </c>
      <c r="P241" t="str">
        <f t="shared" si="30"/>
        <v>LIFE</v>
      </c>
      <c r="Q241">
        <f t="shared" ca="1" si="31"/>
        <v>387</v>
      </c>
    </row>
    <row r="242" spans="1:17" ht="15" customHeight="1" x14ac:dyDescent="0.35">
      <c r="A242">
        <v>239</v>
      </c>
      <c r="B242" t="s">
        <v>265</v>
      </c>
      <c r="C242" s="3">
        <v>45910</v>
      </c>
      <c r="D242" t="s">
        <v>16</v>
      </c>
      <c r="E242" s="6">
        <v>45</v>
      </c>
      <c r="F242" s="7">
        <v>380.64</v>
      </c>
      <c r="G242" s="7">
        <v>0</v>
      </c>
      <c r="H242" t="s">
        <v>10</v>
      </c>
      <c r="I242" t="s">
        <v>318</v>
      </c>
      <c r="J242" s="6">
        <f t="shared" si="24"/>
        <v>2025</v>
      </c>
      <c r="K242" t="str">
        <f t="shared" si="25"/>
        <v>Sep-2025</v>
      </c>
      <c r="L242" t="str">
        <f t="shared" si="26"/>
        <v>Mid-Age (41-60)</v>
      </c>
      <c r="M242" s="8">
        <f t="shared" si="27"/>
        <v>0</v>
      </c>
      <c r="N242" t="str">
        <f t="shared" si="28"/>
        <v>Normal</v>
      </c>
      <c r="O242" t="str">
        <f t="shared" si="29"/>
        <v>POL</v>
      </c>
      <c r="P242" t="str">
        <f t="shared" si="30"/>
        <v>PROPERTY</v>
      </c>
      <c r="Q242">
        <f t="shared" ca="1" si="31"/>
        <v>255</v>
      </c>
    </row>
    <row r="243" spans="1:17" ht="15" customHeight="1" x14ac:dyDescent="0.35">
      <c r="A243">
        <v>240</v>
      </c>
      <c r="B243" t="s">
        <v>266</v>
      </c>
      <c r="C243" s="3">
        <v>45939</v>
      </c>
      <c r="D243" t="s">
        <v>40</v>
      </c>
      <c r="E243" s="6">
        <v>37</v>
      </c>
      <c r="F243" s="7">
        <v>120.35</v>
      </c>
      <c r="G243" s="7">
        <v>726.42</v>
      </c>
      <c r="H243" t="s">
        <v>17</v>
      </c>
      <c r="I243" t="s">
        <v>316</v>
      </c>
      <c r="J243" s="6">
        <f t="shared" si="24"/>
        <v>2025</v>
      </c>
      <c r="K243" t="str">
        <f t="shared" si="25"/>
        <v>Oct-2025</v>
      </c>
      <c r="L243" t="str">
        <f t="shared" si="26"/>
        <v>Adult (25-40)</v>
      </c>
      <c r="M243" s="8">
        <f t="shared" si="27"/>
        <v>6.04</v>
      </c>
      <c r="N243" t="str">
        <f t="shared" si="28"/>
        <v>Normal</v>
      </c>
      <c r="O243" t="str">
        <f t="shared" si="29"/>
        <v>POL</v>
      </c>
      <c r="P243" t="str">
        <f t="shared" si="30"/>
        <v>TRAVEL</v>
      </c>
      <c r="Q243">
        <f t="shared" ca="1" si="31"/>
        <v>234</v>
      </c>
    </row>
    <row r="244" spans="1:17" ht="15" customHeight="1" x14ac:dyDescent="0.35">
      <c r="A244">
        <v>241</v>
      </c>
      <c r="B244" t="s">
        <v>267</v>
      </c>
      <c r="C244" s="3">
        <v>45939</v>
      </c>
      <c r="D244" t="s">
        <v>19</v>
      </c>
      <c r="E244" s="6">
        <v>74</v>
      </c>
      <c r="F244" s="7">
        <v>280.08999999999997</v>
      </c>
      <c r="G244" s="7">
        <v>2331.2600000000002</v>
      </c>
      <c r="H244" t="s">
        <v>17</v>
      </c>
      <c r="I244" t="s">
        <v>316</v>
      </c>
      <c r="J244" s="6">
        <f t="shared" si="24"/>
        <v>2025</v>
      </c>
      <c r="K244" t="str">
        <f t="shared" si="25"/>
        <v>Oct-2025</v>
      </c>
      <c r="L244" t="str">
        <f t="shared" si="26"/>
        <v>Senior (60+)</v>
      </c>
      <c r="M244" s="8">
        <f t="shared" si="27"/>
        <v>8.32</v>
      </c>
      <c r="N244" t="str">
        <f t="shared" si="28"/>
        <v>Normal</v>
      </c>
      <c r="O244" t="str">
        <f t="shared" si="29"/>
        <v>POL</v>
      </c>
      <c r="P244" t="str">
        <f t="shared" si="30"/>
        <v>HEALTH</v>
      </c>
      <c r="Q244">
        <f t="shared" ca="1" si="31"/>
        <v>234</v>
      </c>
    </row>
    <row r="245" spans="1:17" ht="15" customHeight="1" x14ac:dyDescent="0.35">
      <c r="A245">
        <v>242</v>
      </c>
      <c r="B245" t="s">
        <v>268</v>
      </c>
      <c r="C245" s="3">
        <v>45798</v>
      </c>
      <c r="D245" t="s">
        <v>40</v>
      </c>
      <c r="E245" s="6">
        <v>40</v>
      </c>
      <c r="F245" s="7">
        <v>124.72</v>
      </c>
      <c r="G245" s="7">
        <v>730.73</v>
      </c>
      <c r="H245" t="s">
        <v>17</v>
      </c>
      <c r="I245" t="s">
        <v>317</v>
      </c>
      <c r="J245" s="6">
        <f t="shared" si="24"/>
        <v>2025</v>
      </c>
      <c r="K245" t="str">
        <f t="shared" si="25"/>
        <v>May-2025</v>
      </c>
      <c r="L245" t="str">
        <f t="shared" si="26"/>
        <v>Adult (25-40)</v>
      </c>
      <c r="M245" s="8">
        <f t="shared" si="27"/>
        <v>5.86</v>
      </c>
      <c r="N245" t="str">
        <f t="shared" si="28"/>
        <v>Normal</v>
      </c>
      <c r="O245" t="str">
        <f t="shared" si="29"/>
        <v>POL</v>
      </c>
      <c r="P245" t="str">
        <f t="shared" si="30"/>
        <v>TRAVEL</v>
      </c>
      <c r="Q245">
        <f t="shared" ca="1" si="31"/>
        <v>335</v>
      </c>
    </row>
    <row r="246" spans="1:17" ht="15" customHeight="1" x14ac:dyDescent="0.35">
      <c r="A246">
        <v>243</v>
      </c>
      <c r="B246" t="s">
        <v>269</v>
      </c>
      <c r="C246" s="3">
        <v>45741</v>
      </c>
      <c r="D246" t="s">
        <v>19</v>
      </c>
      <c r="E246" s="6">
        <v>29</v>
      </c>
      <c r="F246" s="7">
        <v>281.58999999999997</v>
      </c>
      <c r="G246" s="7">
        <v>0</v>
      </c>
      <c r="H246" t="s">
        <v>10</v>
      </c>
      <c r="I246" t="s">
        <v>322</v>
      </c>
      <c r="J246" s="6">
        <f t="shared" si="24"/>
        <v>2025</v>
      </c>
      <c r="K246" t="str">
        <f t="shared" si="25"/>
        <v>Mar-2025</v>
      </c>
      <c r="L246" t="str">
        <f t="shared" si="26"/>
        <v>Adult (25-40)</v>
      </c>
      <c r="M246" s="8">
        <f t="shared" si="27"/>
        <v>0</v>
      </c>
      <c r="N246" t="str">
        <f t="shared" si="28"/>
        <v>Normal</v>
      </c>
      <c r="O246" t="str">
        <f t="shared" si="29"/>
        <v>POL</v>
      </c>
      <c r="P246" t="str">
        <f t="shared" si="30"/>
        <v>HEALTH</v>
      </c>
      <c r="Q246">
        <f t="shared" ca="1" si="31"/>
        <v>376</v>
      </c>
    </row>
    <row r="247" spans="1:17" ht="15" customHeight="1" x14ac:dyDescent="0.35">
      <c r="A247">
        <v>244</v>
      </c>
      <c r="B247" t="s">
        <v>270</v>
      </c>
      <c r="C247" s="3">
        <v>46078</v>
      </c>
      <c r="D247" t="s">
        <v>19</v>
      </c>
      <c r="E247" s="6">
        <v>47</v>
      </c>
      <c r="F247" s="7">
        <v>387.89</v>
      </c>
      <c r="G247" s="7">
        <v>0</v>
      </c>
      <c r="H247" t="s">
        <v>10</v>
      </c>
      <c r="I247" t="s">
        <v>318</v>
      </c>
      <c r="J247" s="6">
        <f t="shared" si="24"/>
        <v>2026</v>
      </c>
      <c r="K247" t="str">
        <f t="shared" si="25"/>
        <v>Feb-2026</v>
      </c>
      <c r="L247" t="str">
        <f t="shared" si="26"/>
        <v>Mid-Age (41-60)</v>
      </c>
      <c r="M247" s="8">
        <f t="shared" si="27"/>
        <v>0</v>
      </c>
      <c r="N247" t="str">
        <f t="shared" si="28"/>
        <v>Normal</v>
      </c>
      <c r="O247" t="str">
        <f t="shared" si="29"/>
        <v>POL</v>
      </c>
      <c r="P247" t="str">
        <f t="shared" si="30"/>
        <v>HEALTH</v>
      </c>
      <c r="Q247">
        <f t="shared" ca="1" si="31"/>
        <v>135</v>
      </c>
    </row>
    <row r="248" spans="1:17" ht="15" customHeight="1" x14ac:dyDescent="0.35">
      <c r="A248">
        <v>245</v>
      </c>
      <c r="B248" t="s">
        <v>271</v>
      </c>
      <c r="C248" s="3">
        <v>45869</v>
      </c>
      <c r="D248" t="s">
        <v>12</v>
      </c>
      <c r="E248" s="6">
        <v>65</v>
      </c>
      <c r="F248" s="7">
        <v>276.33999999999997</v>
      </c>
      <c r="G248" s="7">
        <v>0</v>
      </c>
      <c r="H248" t="s">
        <v>10</v>
      </c>
      <c r="I248" t="s">
        <v>318</v>
      </c>
      <c r="J248" s="6">
        <f t="shared" si="24"/>
        <v>2025</v>
      </c>
      <c r="K248" t="str">
        <f t="shared" si="25"/>
        <v>Jul-2025</v>
      </c>
      <c r="L248" t="str">
        <f t="shared" si="26"/>
        <v>Senior (60+)</v>
      </c>
      <c r="M248" s="8">
        <f t="shared" si="27"/>
        <v>0</v>
      </c>
      <c r="N248" t="str">
        <f t="shared" si="28"/>
        <v>Normal</v>
      </c>
      <c r="O248" t="str">
        <f t="shared" si="29"/>
        <v>POL</v>
      </c>
      <c r="P248" t="str">
        <f t="shared" si="30"/>
        <v>MOTOR</v>
      </c>
      <c r="Q248">
        <f t="shared" ca="1" si="31"/>
        <v>284</v>
      </c>
    </row>
    <row r="249" spans="1:17" ht="15" customHeight="1" x14ac:dyDescent="0.35">
      <c r="A249">
        <v>246</v>
      </c>
      <c r="B249" t="s">
        <v>272</v>
      </c>
      <c r="C249" s="3">
        <v>45758</v>
      </c>
      <c r="D249" t="s">
        <v>9</v>
      </c>
      <c r="E249" s="6">
        <v>24</v>
      </c>
      <c r="F249" s="7">
        <v>448.65</v>
      </c>
      <c r="G249" s="7">
        <v>0</v>
      </c>
      <c r="H249" t="s">
        <v>10</v>
      </c>
      <c r="I249" t="s">
        <v>318</v>
      </c>
      <c r="J249" s="6">
        <f t="shared" si="24"/>
        <v>2025</v>
      </c>
      <c r="K249" t="str">
        <f t="shared" si="25"/>
        <v>Apr-2025</v>
      </c>
      <c r="L249" t="str">
        <f t="shared" si="26"/>
        <v>Young (18-24)</v>
      </c>
      <c r="M249" s="8">
        <f t="shared" si="27"/>
        <v>0</v>
      </c>
      <c r="N249" t="str">
        <f t="shared" si="28"/>
        <v>Normal</v>
      </c>
      <c r="O249" t="str">
        <f t="shared" si="29"/>
        <v>POL</v>
      </c>
      <c r="P249" t="str">
        <f t="shared" si="30"/>
        <v>LIFE</v>
      </c>
      <c r="Q249">
        <f t="shared" ca="1" si="31"/>
        <v>363</v>
      </c>
    </row>
    <row r="250" spans="1:17" ht="15" customHeight="1" x14ac:dyDescent="0.35">
      <c r="A250">
        <v>247</v>
      </c>
      <c r="B250" t="s">
        <v>273</v>
      </c>
      <c r="C250" s="3">
        <v>45974</v>
      </c>
      <c r="D250" t="s">
        <v>19</v>
      </c>
      <c r="E250" s="6">
        <v>30</v>
      </c>
      <c r="F250" s="7">
        <v>443.86</v>
      </c>
      <c r="G250" s="7">
        <v>0</v>
      </c>
      <c r="H250" t="s">
        <v>10</v>
      </c>
      <c r="I250" t="s">
        <v>318</v>
      </c>
      <c r="J250" s="6">
        <f t="shared" si="24"/>
        <v>2025</v>
      </c>
      <c r="K250" t="str">
        <f t="shared" si="25"/>
        <v>Nov-2025</v>
      </c>
      <c r="L250" t="str">
        <f t="shared" si="26"/>
        <v>Adult (25-40)</v>
      </c>
      <c r="M250" s="8">
        <f t="shared" si="27"/>
        <v>0</v>
      </c>
      <c r="N250" t="str">
        <f t="shared" si="28"/>
        <v>Normal</v>
      </c>
      <c r="O250" t="str">
        <f t="shared" si="29"/>
        <v>POL</v>
      </c>
      <c r="P250" t="str">
        <f t="shared" si="30"/>
        <v>HEALTH</v>
      </c>
      <c r="Q250">
        <f t="shared" ca="1" si="31"/>
        <v>209</v>
      </c>
    </row>
    <row r="251" spans="1:17" ht="15" customHeight="1" x14ac:dyDescent="0.35">
      <c r="A251">
        <v>248</v>
      </c>
      <c r="B251" t="s">
        <v>274</v>
      </c>
      <c r="C251" s="3">
        <v>45939</v>
      </c>
      <c r="D251" t="s">
        <v>12</v>
      </c>
      <c r="E251" s="6">
        <v>35</v>
      </c>
      <c r="F251" s="7">
        <v>360.73</v>
      </c>
      <c r="G251" s="7">
        <v>0</v>
      </c>
      <c r="H251" t="s">
        <v>10</v>
      </c>
      <c r="I251" t="s">
        <v>316</v>
      </c>
      <c r="J251" s="6">
        <f t="shared" si="24"/>
        <v>2025</v>
      </c>
      <c r="K251" t="str">
        <f t="shared" si="25"/>
        <v>Oct-2025</v>
      </c>
      <c r="L251" t="str">
        <f t="shared" si="26"/>
        <v>Adult (25-40)</v>
      </c>
      <c r="M251" s="8">
        <f t="shared" si="27"/>
        <v>0</v>
      </c>
      <c r="N251" t="str">
        <f t="shared" si="28"/>
        <v>Normal</v>
      </c>
      <c r="O251" t="str">
        <f t="shared" si="29"/>
        <v>POL</v>
      </c>
      <c r="P251" t="str">
        <f t="shared" si="30"/>
        <v>MOTOR</v>
      </c>
      <c r="Q251">
        <f t="shared" ca="1" si="31"/>
        <v>234</v>
      </c>
    </row>
    <row r="252" spans="1:17" ht="15" customHeight="1" x14ac:dyDescent="0.35">
      <c r="A252">
        <v>249</v>
      </c>
      <c r="B252" t="s">
        <v>275</v>
      </c>
      <c r="C252" s="3">
        <v>45740</v>
      </c>
      <c r="D252" t="s">
        <v>19</v>
      </c>
      <c r="E252" s="6">
        <v>29</v>
      </c>
      <c r="F252" s="7">
        <v>306.83</v>
      </c>
      <c r="G252" s="7">
        <v>2131.71</v>
      </c>
      <c r="H252" t="s">
        <v>13</v>
      </c>
      <c r="I252" t="s">
        <v>318</v>
      </c>
      <c r="J252" s="6">
        <f t="shared" si="24"/>
        <v>2025</v>
      </c>
      <c r="K252" t="str">
        <f t="shared" si="25"/>
        <v>Mar-2025</v>
      </c>
      <c r="L252" t="str">
        <f t="shared" si="26"/>
        <v>Adult (25-40)</v>
      </c>
      <c r="M252" s="8">
        <f t="shared" si="27"/>
        <v>6.95</v>
      </c>
      <c r="N252" t="str">
        <f t="shared" si="28"/>
        <v>Needs Review</v>
      </c>
      <c r="O252" t="str">
        <f t="shared" si="29"/>
        <v>POL</v>
      </c>
      <c r="P252" t="str">
        <f t="shared" si="30"/>
        <v>HEALTH</v>
      </c>
      <c r="Q252">
        <f t="shared" ca="1" si="31"/>
        <v>377</v>
      </c>
    </row>
    <row r="253" spans="1:17" ht="15" customHeight="1" x14ac:dyDescent="0.35">
      <c r="A253">
        <v>250</v>
      </c>
      <c r="B253" t="s">
        <v>276</v>
      </c>
      <c r="C253" s="3">
        <v>46048</v>
      </c>
      <c r="D253" t="s">
        <v>19</v>
      </c>
      <c r="E253" s="6">
        <v>30</v>
      </c>
      <c r="F253" s="7">
        <v>279.14</v>
      </c>
      <c r="G253" s="7">
        <v>1797.64</v>
      </c>
      <c r="H253" t="s">
        <v>17</v>
      </c>
      <c r="I253" t="s">
        <v>318</v>
      </c>
      <c r="J253" s="6">
        <f t="shared" si="24"/>
        <v>2026</v>
      </c>
      <c r="K253" t="str">
        <f t="shared" si="25"/>
        <v>Jan-2026</v>
      </c>
      <c r="L253" t="str">
        <f t="shared" si="26"/>
        <v>Adult (25-40)</v>
      </c>
      <c r="M253" s="8">
        <f t="shared" si="27"/>
        <v>6.44</v>
      </c>
      <c r="N253" t="str">
        <f t="shared" si="28"/>
        <v>Normal</v>
      </c>
      <c r="O253" t="str">
        <f t="shared" si="29"/>
        <v>POL</v>
      </c>
      <c r="P253" t="str">
        <f t="shared" si="30"/>
        <v>HEALTH</v>
      </c>
      <c r="Q253">
        <f t="shared" ca="1" si="31"/>
        <v>157</v>
      </c>
    </row>
    <row r="254" spans="1:17" ht="15" customHeight="1" x14ac:dyDescent="0.35">
      <c r="A254">
        <v>251</v>
      </c>
      <c r="B254" t="s">
        <v>277</v>
      </c>
      <c r="C254" s="3">
        <v>45847</v>
      </c>
      <c r="D254" t="s">
        <v>9</v>
      </c>
      <c r="E254" s="6">
        <v>66</v>
      </c>
      <c r="F254" s="7">
        <v>506.16</v>
      </c>
      <c r="G254" s="7">
        <v>2615.4899999999998</v>
      </c>
      <c r="H254" t="s">
        <v>17</v>
      </c>
      <c r="I254" t="s">
        <v>318</v>
      </c>
      <c r="J254" s="6">
        <f t="shared" si="24"/>
        <v>2025</v>
      </c>
      <c r="K254" t="str">
        <f t="shared" si="25"/>
        <v>Jul-2025</v>
      </c>
      <c r="L254" t="str">
        <f t="shared" si="26"/>
        <v>Senior (60+)</v>
      </c>
      <c r="M254" s="8">
        <f t="shared" si="27"/>
        <v>5.17</v>
      </c>
      <c r="N254" t="str">
        <f t="shared" si="28"/>
        <v>Normal</v>
      </c>
      <c r="O254" t="str">
        <f t="shared" si="29"/>
        <v>POL</v>
      </c>
      <c r="P254" t="str">
        <f t="shared" si="30"/>
        <v>LIFE</v>
      </c>
      <c r="Q254">
        <f t="shared" ca="1" si="31"/>
        <v>300</v>
      </c>
    </row>
    <row r="255" spans="1:17" ht="15" customHeight="1" x14ac:dyDescent="0.35">
      <c r="A255">
        <v>252</v>
      </c>
      <c r="B255" t="s">
        <v>278</v>
      </c>
      <c r="C255" s="3">
        <v>45735</v>
      </c>
      <c r="D255" t="s">
        <v>16</v>
      </c>
      <c r="E255" s="6">
        <v>75</v>
      </c>
      <c r="F255" s="7">
        <v>377.49</v>
      </c>
      <c r="G255" s="7">
        <v>2880.16</v>
      </c>
      <c r="H255" t="s">
        <v>13</v>
      </c>
      <c r="I255" t="s">
        <v>317</v>
      </c>
      <c r="J255" s="6">
        <f t="shared" si="24"/>
        <v>2025</v>
      </c>
      <c r="K255" t="str">
        <f t="shared" si="25"/>
        <v>Mar-2025</v>
      </c>
      <c r="L255" t="str">
        <f t="shared" si="26"/>
        <v>Senior (60+)</v>
      </c>
      <c r="M255" s="8">
        <f t="shared" si="27"/>
        <v>7.63</v>
      </c>
      <c r="N255" t="str">
        <f t="shared" si="28"/>
        <v>Needs Review</v>
      </c>
      <c r="O255" t="str">
        <f t="shared" si="29"/>
        <v>POL</v>
      </c>
      <c r="P255" t="str">
        <f t="shared" si="30"/>
        <v>PROPERTY</v>
      </c>
      <c r="Q255">
        <f t="shared" ca="1" si="31"/>
        <v>380</v>
      </c>
    </row>
    <row r="256" spans="1:17" ht="15" customHeight="1" x14ac:dyDescent="0.35">
      <c r="A256">
        <v>253</v>
      </c>
      <c r="B256" t="s">
        <v>279</v>
      </c>
      <c r="C256" s="3">
        <v>45786</v>
      </c>
      <c r="D256" t="s">
        <v>12</v>
      </c>
      <c r="E256" s="6">
        <v>47</v>
      </c>
      <c r="F256" s="7">
        <v>246.65</v>
      </c>
      <c r="G256" s="7">
        <v>0</v>
      </c>
      <c r="H256" t="s">
        <v>10</v>
      </c>
      <c r="I256" t="s">
        <v>319</v>
      </c>
      <c r="J256" s="6">
        <f t="shared" si="24"/>
        <v>2025</v>
      </c>
      <c r="K256" t="str">
        <f t="shared" si="25"/>
        <v>May-2025</v>
      </c>
      <c r="L256" t="str">
        <f t="shared" si="26"/>
        <v>Mid-Age (41-60)</v>
      </c>
      <c r="M256" s="8">
        <f t="shared" si="27"/>
        <v>0</v>
      </c>
      <c r="N256" t="str">
        <f t="shared" si="28"/>
        <v>Normal</v>
      </c>
      <c r="O256" t="str">
        <f t="shared" si="29"/>
        <v>POL</v>
      </c>
      <c r="P256" t="str">
        <f t="shared" si="30"/>
        <v>MOTOR</v>
      </c>
      <c r="Q256">
        <f t="shared" ca="1" si="31"/>
        <v>343</v>
      </c>
    </row>
    <row r="257" spans="1:17" ht="15" customHeight="1" x14ac:dyDescent="0.35">
      <c r="A257">
        <v>254</v>
      </c>
      <c r="B257" t="s">
        <v>280</v>
      </c>
      <c r="C257" s="3">
        <v>45792</v>
      </c>
      <c r="D257" t="s">
        <v>19</v>
      </c>
      <c r="E257" s="6">
        <v>74</v>
      </c>
      <c r="F257" s="7">
        <v>394.49</v>
      </c>
      <c r="G257" s="7">
        <v>1984.79</v>
      </c>
      <c r="H257" t="s">
        <v>17</v>
      </c>
      <c r="I257" t="s">
        <v>317</v>
      </c>
      <c r="J257" s="6">
        <f t="shared" si="24"/>
        <v>2025</v>
      </c>
      <c r="K257" t="str">
        <f t="shared" si="25"/>
        <v>May-2025</v>
      </c>
      <c r="L257" t="str">
        <f t="shared" si="26"/>
        <v>Senior (60+)</v>
      </c>
      <c r="M257" s="8">
        <f t="shared" si="27"/>
        <v>5.03</v>
      </c>
      <c r="N257" t="str">
        <f t="shared" si="28"/>
        <v>Normal</v>
      </c>
      <c r="O257" t="str">
        <f t="shared" si="29"/>
        <v>POL</v>
      </c>
      <c r="P257" t="str">
        <f t="shared" si="30"/>
        <v>HEALTH</v>
      </c>
      <c r="Q257">
        <f t="shared" ca="1" si="31"/>
        <v>339</v>
      </c>
    </row>
    <row r="258" spans="1:17" ht="15" customHeight="1" x14ac:dyDescent="0.35">
      <c r="A258">
        <v>255</v>
      </c>
      <c r="B258" t="s">
        <v>281</v>
      </c>
      <c r="C258" s="3">
        <v>46011</v>
      </c>
      <c r="D258" t="s">
        <v>16</v>
      </c>
      <c r="E258" s="6">
        <v>23</v>
      </c>
      <c r="F258" s="7">
        <v>524.87</v>
      </c>
      <c r="G258" s="7">
        <v>4345.62</v>
      </c>
      <c r="H258" t="s">
        <v>30</v>
      </c>
      <c r="I258" t="s">
        <v>318</v>
      </c>
      <c r="J258" s="6">
        <f t="shared" si="24"/>
        <v>2025</v>
      </c>
      <c r="K258" t="str">
        <f t="shared" si="25"/>
        <v>Dec-2025</v>
      </c>
      <c r="L258" t="str">
        <f t="shared" si="26"/>
        <v>Young (18-24)</v>
      </c>
      <c r="M258" s="8">
        <f t="shared" si="27"/>
        <v>8.2799999999999994</v>
      </c>
      <c r="N258" t="str">
        <f t="shared" si="28"/>
        <v>Normal</v>
      </c>
      <c r="O258" t="str">
        <f t="shared" si="29"/>
        <v>POL</v>
      </c>
      <c r="P258" t="str">
        <f t="shared" si="30"/>
        <v>PROPERTY</v>
      </c>
      <c r="Q258">
        <f t="shared" ca="1" si="31"/>
        <v>182</v>
      </c>
    </row>
    <row r="259" spans="1:17" ht="15" customHeight="1" x14ac:dyDescent="0.35">
      <c r="A259">
        <v>256</v>
      </c>
      <c r="B259" t="s">
        <v>282</v>
      </c>
      <c r="C259" s="3">
        <v>45939</v>
      </c>
      <c r="D259" t="s">
        <v>9</v>
      </c>
      <c r="E259" s="6">
        <v>31</v>
      </c>
      <c r="F259" s="7">
        <v>465.26</v>
      </c>
      <c r="G259" s="7">
        <v>2501.64</v>
      </c>
      <c r="H259" t="s">
        <v>13</v>
      </c>
      <c r="I259" t="s">
        <v>316</v>
      </c>
      <c r="J259" s="6">
        <f t="shared" si="24"/>
        <v>2025</v>
      </c>
      <c r="K259" t="str">
        <f t="shared" si="25"/>
        <v>Oct-2025</v>
      </c>
      <c r="L259" t="str">
        <f t="shared" si="26"/>
        <v>Adult (25-40)</v>
      </c>
      <c r="M259" s="8">
        <f t="shared" si="27"/>
        <v>5.38</v>
      </c>
      <c r="N259" t="str">
        <f t="shared" si="28"/>
        <v>Needs Review</v>
      </c>
      <c r="O259" t="str">
        <f t="shared" si="29"/>
        <v>POL</v>
      </c>
      <c r="P259" t="str">
        <f t="shared" si="30"/>
        <v>LIFE</v>
      </c>
      <c r="Q259">
        <f t="shared" ca="1" si="31"/>
        <v>234</v>
      </c>
    </row>
    <row r="260" spans="1:17" ht="15" customHeight="1" x14ac:dyDescent="0.35">
      <c r="A260">
        <v>257</v>
      </c>
      <c r="B260" t="s">
        <v>283</v>
      </c>
      <c r="C260" s="3">
        <v>45672</v>
      </c>
      <c r="D260" t="s">
        <v>19</v>
      </c>
      <c r="E260" s="6">
        <v>74</v>
      </c>
      <c r="F260" s="7">
        <v>260.27999999999997</v>
      </c>
      <c r="G260" s="7">
        <v>896.46</v>
      </c>
      <c r="H260" t="s">
        <v>30</v>
      </c>
      <c r="I260" t="s">
        <v>322</v>
      </c>
      <c r="J260" s="6">
        <f t="shared" ref="J260:J281" si="32">YEAR(C260)</f>
        <v>2025</v>
      </c>
      <c r="K260" t="str">
        <f t="shared" ref="K260:K281" si="33">TEXT(C260,"mmm-yyyy")</f>
        <v>Jan-2025</v>
      </c>
      <c r="L260" t="str">
        <f t="shared" ref="L260:L281" si="34">_xlfn.IFS(E260&lt;25,"Young (18-24)",E260&lt;=40,"Adult (25-40)",E260&lt;=60,"Mid-Age (41-60)",TRUE(),"Senior (60+)")</f>
        <v>Senior (60+)</v>
      </c>
      <c r="M260" s="8">
        <f t="shared" ref="M260:M281" si="35">IF(F260=0,0,ROUND(G260/F260,2))</f>
        <v>3.44</v>
      </c>
      <c r="N260" t="str">
        <f t="shared" ref="N260:N281" si="36">IF(AND(G260&gt;3000,H260="Approved"),"High-Value Approved",IF(OR(H260="Pending",H260="Unknown"),"Needs Review","Normal"))</f>
        <v>Normal</v>
      </c>
      <c r="O260" t="str">
        <f t="shared" ref="O260:O281" si="37">LEFT(B260,3)</f>
        <v>POL</v>
      </c>
      <c r="P260" t="str">
        <f t="shared" ref="P260:P281" si="38">UPPER(D260)</f>
        <v>HEALTH</v>
      </c>
      <c r="Q260">
        <f t="shared" ref="Q260:Q281" ca="1" si="39">NETWORKDAYS(C260,TODAY())</f>
        <v>425</v>
      </c>
    </row>
    <row r="261" spans="1:17" ht="15" customHeight="1" x14ac:dyDescent="0.35">
      <c r="A261">
        <v>258</v>
      </c>
      <c r="B261" t="s">
        <v>284</v>
      </c>
      <c r="C261" s="3">
        <v>46103</v>
      </c>
      <c r="D261" t="s">
        <v>40</v>
      </c>
      <c r="E261" s="6">
        <v>57</v>
      </c>
      <c r="F261" s="7">
        <v>107.21</v>
      </c>
      <c r="G261" s="7">
        <v>730.73</v>
      </c>
      <c r="H261" t="s">
        <v>17</v>
      </c>
      <c r="I261" t="s">
        <v>317</v>
      </c>
      <c r="J261" s="6">
        <f t="shared" si="32"/>
        <v>2026</v>
      </c>
      <c r="K261" t="str">
        <f t="shared" si="33"/>
        <v>Mar-2026</v>
      </c>
      <c r="L261" t="str">
        <f t="shared" si="34"/>
        <v>Mid-Age (41-60)</v>
      </c>
      <c r="M261" s="8">
        <f t="shared" si="35"/>
        <v>6.82</v>
      </c>
      <c r="N261" t="str">
        <f t="shared" si="36"/>
        <v>Normal</v>
      </c>
      <c r="O261" t="str">
        <f t="shared" si="37"/>
        <v>POL</v>
      </c>
      <c r="P261" t="str">
        <f t="shared" si="38"/>
        <v>TRAVEL</v>
      </c>
      <c r="Q261">
        <f t="shared" ca="1" si="39"/>
        <v>117</v>
      </c>
    </row>
    <row r="262" spans="1:17" ht="15" customHeight="1" x14ac:dyDescent="0.35">
      <c r="A262">
        <v>259</v>
      </c>
      <c r="B262" t="s">
        <v>285</v>
      </c>
      <c r="C262" s="3">
        <v>45658</v>
      </c>
      <c r="D262" t="s">
        <v>16</v>
      </c>
      <c r="E262" s="6">
        <v>49</v>
      </c>
      <c r="F262" s="7">
        <v>540.16999999999996</v>
      </c>
      <c r="G262" s="7">
        <v>2816.84</v>
      </c>
      <c r="H262" t="s">
        <v>17</v>
      </c>
      <c r="I262" t="s">
        <v>319</v>
      </c>
      <c r="J262" s="6">
        <f t="shared" si="32"/>
        <v>2025</v>
      </c>
      <c r="K262" t="str">
        <f t="shared" si="33"/>
        <v>Jan-2025</v>
      </c>
      <c r="L262" t="str">
        <f t="shared" si="34"/>
        <v>Mid-Age (41-60)</v>
      </c>
      <c r="M262" s="8">
        <f t="shared" si="35"/>
        <v>5.21</v>
      </c>
      <c r="N262" t="str">
        <f t="shared" si="36"/>
        <v>Normal</v>
      </c>
      <c r="O262" t="str">
        <f t="shared" si="37"/>
        <v>POL</v>
      </c>
      <c r="P262" t="str">
        <f t="shared" si="38"/>
        <v>PROPERTY</v>
      </c>
      <c r="Q262">
        <f t="shared" ca="1" si="39"/>
        <v>435</v>
      </c>
    </row>
    <row r="263" spans="1:17" ht="15" customHeight="1" x14ac:dyDescent="0.35">
      <c r="A263">
        <v>260</v>
      </c>
      <c r="B263" t="s">
        <v>286</v>
      </c>
      <c r="C263" s="3">
        <v>45674</v>
      </c>
      <c r="D263" t="s">
        <v>9</v>
      </c>
      <c r="E263" s="6">
        <v>30</v>
      </c>
      <c r="F263" s="7">
        <v>403.38</v>
      </c>
      <c r="G263" s="7">
        <v>0</v>
      </c>
      <c r="H263" t="s">
        <v>10</v>
      </c>
      <c r="I263" t="s">
        <v>318</v>
      </c>
      <c r="J263" s="6">
        <f t="shared" si="32"/>
        <v>2025</v>
      </c>
      <c r="K263" t="str">
        <f t="shared" si="33"/>
        <v>Jan-2025</v>
      </c>
      <c r="L263" t="str">
        <f t="shared" si="34"/>
        <v>Adult (25-40)</v>
      </c>
      <c r="M263" s="8">
        <f t="shared" si="35"/>
        <v>0</v>
      </c>
      <c r="N263" t="str">
        <f t="shared" si="36"/>
        <v>Normal</v>
      </c>
      <c r="O263" t="str">
        <f t="shared" si="37"/>
        <v>POL</v>
      </c>
      <c r="P263" t="str">
        <f t="shared" si="38"/>
        <v>LIFE</v>
      </c>
      <c r="Q263">
        <f t="shared" ca="1" si="39"/>
        <v>423</v>
      </c>
    </row>
    <row r="264" spans="1:17" ht="15" customHeight="1" x14ac:dyDescent="0.35">
      <c r="A264">
        <v>261</v>
      </c>
      <c r="B264" t="s">
        <v>287</v>
      </c>
      <c r="C264" s="3">
        <v>45871</v>
      </c>
      <c r="D264" t="s">
        <v>19</v>
      </c>
      <c r="E264" s="6">
        <v>24</v>
      </c>
      <c r="F264" s="7">
        <v>341.31</v>
      </c>
      <c r="G264" s="7">
        <v>1903.29</v>
      </c>
      <c r="H264" t="s">
        <v>17</v>
      </c>
      <c r="I264" t="s">
        <v>318</v>
      </c>
      <c r="J264" s="6">
        <f t="shared" si="32"/>
        <v>2025</v>
      </c>
      <c r="K264" t="str">
        <f t="shared" si="33"/>
        <v>Aug-2025</v>
      </c>
      <c r="L264" t="str">
        <f t="shared" si="34"/>
        <v>Young (18-24)</v>
      </c>
      <c r="M264" s="8">
        <f t="shared" si="35"/>
        <v>5.58</v>
      </c>
      <c r="N264" t="str">
        <f t="shared" si="36"/>
        <v>Normal</v>
      </c>
      <c r="O264" t="str">
        <f t="shared" si="37"/>
        <v>POL</v>
      </c>
      <c r="P264" t="str">
        <f t="shared" si="38"/>
        <v>HEALTH</v>
      </c>
      <c r="Q264">
        <f t="shared" ca="1" si="39"/>
        <v>282</v>
      </c>
    </row>
    <row r="265" spans="1:17" ht="15" customHeight="1" x14ac:dyDescent="0.35">
      <c r="A265">
        <v>262</v>
      </c>
      <c r="B265" t="s">
        <v>288</v>
      </c>
      <c r="C265" s="3">
        <v>45939</v>
      </c>
      <c r="D265" t="s">
        <v>9</v>
      </c>
      <c r="E265" s="6">
        <v>19</v>
      </c>
      <c r="F265" s="7">
        <v>366.05</v>
      </c>
      <c r="G265" s="7">
        <v>0</v>
      </c>
      <c r="H265" t="s">
        <v>10</v>
      </c>
      <c r="I265" t="s">
        <v>316</v>
      </c>
      <c r="J265" s="6">
        <f t="shared" si="32"/>
        <v>2025</v>
      </c>
      <c r="K265" t="str">
        <f t="shared" si="33"/>
        <v>Oct-2025</v>
      </c>
      <c r="L265" t="str">
        <f t="shared" si="34"/>
        <v>Young (18-24)</v>
      </c>
      <c r="M265" s="8">
        <f t="shared" si="35"/>
        <v>0</v>
      </c>
      <c r="N265" t="str">
        <f t="shared" si="36"/>
        <v>Normal</v>
      </c>
      <c r="O265" t="str">
        <f t="shared" si="37"/>
        <v>POL</v>
      </c>
      <c r="P265" t="str">
        <f t="shared" si="38"/>
        <v>LIFE</v>
      </c>
      <c r="Q265">
        <f t="shared" ca="1" si="39"/>
        <v>234</v>
      </c>
    </row>
    <row r="266" spans="1:17" ht="15" customHeight="1" x14ac:dyDescent="0.35">
      <c r="A266">
        <v>263</v>
      </c>
      <c r="B266" t="s">
        <v>289</v>
      </c>
      <c r="C266" s="3">
        <v>45905</v>
      </c>
      <c r="D266" t="s">
        <v>19</v>
      </c>
      <c r="E266" s="6">
        <v>62</v>
      </c>
      <c r="F266" s="7">
        <v>316.27999999999997</v>
      </c>
      <c r="G266" s="7">
        <v>2676.48</v>
      </c>
      <c r="H266" t="s">
        <v>17</v>
      </c>
      <c r="I266" t="s">
        <v>318</v>
      </c>
      <c r="J266" s="6">
        <f t="shared" si="32"/>
        <v>2025</v>
      </c>
      <c r="K266" t="str">
        <f t="shared" si="33"/>
        <v>Sep-2025</v>
      </c>
      <c r="L266" t="str">
        <f t="shared" si="34"/>
        <v>Senior (60+)</v>
      </c>
      <c r="M266" s="8">
        <f t="shared" si="35"/>
        <v>8.4600000000000009</v>
      </c>
      <c r="N266" t="str">
        <f t="shared" si="36"/>
        <v>Normal</v>
      </c>
      <c r="O266" t="str">
        <f t="shared" si="37"/>
        <v>POL</v>
      </c>
      <c r="P266" t="str">
        <f t="shared" si="38"/>
        <v>HEALTH</v>
      </c>
      <c r="Q266">
        <f t="shared" ca="1" si="39"/>
        <v>258</v>
      </c>
    </row>
    <row r="267" spans="1:17" ht="15" customHeight="1" x14ac:dyDescent="0.35">
      <c r="A267">
        <v>264</v>
      </c>
      <c r="B267" t="s">
        <v>290</v>
      </c>
      <c r="C267" s="3">
        <v>46097</v>
      </c>
      <c r="D267" t="s">
        <v>12</v>
      </c>
      <c r="E267" s="6">
        <v>31</v>
      </c>
      <c r="F267" s="7">
        <v>292.55</v>
      </c>
      <c r="G267" s="7">
        <v>0</v>
      </c>
      <c r="H267" t="s">
        <v>10</v>
      </c>
      <c r="I267" t="s">
        <v>320</v>
      </c>
      <c r="J267" s="6">
        <f t="shared" si="32"/>
        <v>2026</v>
      </c>
      <c r="K267" t="str">
        <f t="shared" si="33"/>
        <v>Mar-2026</v>
      </c>
      <c r="L267" t="str">
        <f t="shared" si="34"/>
        <v>Adult (25-40)</v>
      </c>
      <c r="M267" s="8">
        <f t="shared" si="35"/>
        <v>0</v>
      </c>
      <c r="N267" t="str">
        <f t="shared" si="36"/>
        <v>Normal</v>
      </c>
      <c r="O267" t="str">
        <f t="shared" si="37"/>
        <v>POL</v>
      </c>
      <c r="P267" t="str">
        <f t="shared" si="38"/>
        <v>MOTOR</v>
      </c>
      <c r="Q267">
        <f t="shared" ca="1" si="39"/>
        <v>122</v>
      </c>
    </row>
    <row r="268" spans="1:17" ht="15" customHeight="1" x14ac:dyDescent="0.35">
      <c r="A268">
        <v>265</v>
      </c>
      <c r="B268" t="s">
        <v>291</v>
      </c>
      <c r="C268" s="3">
        <v>45793</v>
      </c>
      <c r="D268" t="s">
        <v>12</v>
      </c>
      <c r="E268" s="6">
        <v>36</v>
      </c>
      <c r="F268" s="7">
        <v>234.21</v>
      </c>
      <c r="G268" s="7">
        <v>0</v>
      </c>
      <c r="H268" t="s">
        <v>10</v>
      </c>
      <c r="I268" t="s">
        <v>318</v>
      </c>
      <c r="J268" s="6">
        <f t="shared" si="32"/>
        <v>2025</v>
      </c>
      <c r="K268" t="str">
        <f t="shared" si="33"/>
        <v>May-2025</v>
      </c>
      <c r="L268" t="str">
        <f t="shared" si="34"/>
        <v>Adult (25-40)</v>
      </c>
      <c r="M268" s="8">
        <f t="shared" si="35"/>
        <v>0</v>
      </c>
      <c r="N268" t="str">
        <f t="shared" si="36"/>
        <v>Normal</v>
      </c>
      <c r="O268" t="str">
        <f t="shared" si="37"/>
        <v>POL</v>
      </c>
      <c r="P268" t="str">
        <f t="shared" si="38"/>
        <v>MOTOR</v>
      </c>
      <c r="Q268">
        <f t="shared" ca="1" si="39"/>
        <v>338</v>
      </c>
    </row>
    <row r="269" spans="1:17" ht="15" customHeight="1" x14ac:dyDescent="0.35">
      <c r="A269">
        <v>266</v>
      </c>
      <c r="B269" t="s">
        <v>292</v>
      </c>
      <c r="C269" s="3">
        <v>45997</v>
      </c>
      <c r="D269" t="s">
        <v>19</v>
      </c>
      <c r="E269" s="6">
        <v>60</v>
      </c>
      <c r="F269" s="7">
        <v>118.77</v>
      </c>
      <c r="G269" s="7">
        <v>0</v>
      </c>
      <c r="H269" t="s">
        <v>10</v>
      </c>
      <c r="I269" t="s">
        <v>322</v>
      </c>
      <c r="J269" s="6">
        <f t="shared" si="32"/>
        <v>2025</v>
      </c>
      <c r="K269" t="str">
        <f t="shared" si="33"/>
        <v>Dec-2025</v>
      </c>
      <c r="L269" t="str">
        <f t="shared" si="34"/>
        <v>Mid-Age (41-60)</v>
      </c>
      <c r="M269" s="8">
        <f t="shared" si="35"/>
        <v>0</v>
      </c>
      <c r="N269" t="str">
        <f t="shared" si="36"/>
        <v>Normal</v>
      </c>
      <c r="O269" t="str">
        <f t="shared" si="37"/>
        <v>POL</v>
      </c>
      <c r="P269" t="str">
        <f t="shared" si="38"/>
        <v>HEALTH</v>
      </c>
      <c r="Q269">
        <f t="shared" ca="1" si="39"/>
        <v>192</v>
      </c>
    </row>
    <row r="270" spans="1:17" ht="15" customHeight="1" x14ac:dyDescent="0.35">
      <c r="A270">
        <v>267</v>
      </c>
      <c r="B270" t="s">
        <v>293</v>
      </c>
      <c r="C270" s="3">
        <v>45803</v>
      </c>
      <c r="D270" t="s">
        <v>19</v>
      </c>
      <c r="E270" s="6">
        <v>37</v>
      </c>
      <c r="F270" s="7">
        <v>368.48</v>
      </c>
      <c r="G270" s="7">
        <v>1534.08</v>
      </c>
      <c r="H270" t="s">
        <v>30</v>
      </c>
      <c r="I270" t="s">
        <v>322</v>
      </c>
      <c r="J270" s="6">
        <f t="shared" si="32"/>
        <v>2025</v>
      </c>
      <c r="K270" t="str">
        <f t="shared" si="33"/>
        <v>May-2025</v>
      </c>
      <c r="L270" t="str">
        <f t="shared" si="34"/>
        <v>Adult (25-40)</v>
      </c>
      <c r="M270" s="8">
        <f t="shared" si="35"/>
        <v>4.16</v>
      </c>
      <c r="N270" t="str">
        <f t="shared" si="36"/>
        <v>Normal</v>
      </c>
      <c r="O270" t="str">
        <f t="shared" si="37"/>
        <v>POL</v>
      </c>
      <c r="P270" t="str">
        <f t="shared" si="38"/>
        <v>HEALTH</v>
      </c>
      <c r="Q270">
        <f t="shared" ca="1" si="39"/>
        <v>332</v>
      </c>
    </row>
    <row r="271" spans="1:17" ht="15" customHeight="1" x14ac:dyDescent="0.35">
      <c r="A271">
        <v>268</v>
      </c>
      <c r="B271" t="s">
        <v>294</v>
      </c>
      <c r="C271" s="3">
        <v>45856</v>
      </c>
      <c r="D271" t="s">
        <v>12</v>
      </c>
      <c r="E271" s="6">
        <v>40</v>
      </c>
      <c r="F271" s="7">
        <v>350.67</v>
      </c>
      <c r="G271" s="7">
        <v>601.96</v>
      </c>
      <c r="H271" t="s">
        <v>13</v>
      </c>
      <c r="I271" t="s">
        <v>318</v>
      </c>
      <c r="J271" s="6">
        <f t="shared" si="32"/>
        <v>2025</v>
      </c>
      <c r="K271" t="str">
        <f t="shared" si="33"/>
        <v>Jul-2025</v>
      </c>
      <c r="L271" t="str">
        <f t="shared" si="34"/>
        <v>Adult (25-40)</v>
      </c>
      <c r="M271" s="8">
        <f t="shared" si="35"/>
        <v>1.72</v>
      </c>
      <c r="N271" t="str">
        <f t="shared" si="36"/>
        <v>Needs Review</v>
      </c>
      <c r="O271" t="str">
        <f t="shared" si="37"/>
        <v>POL</v>
      </c>
      <c r="P271" t="str">
        <f t="shared" si="38"/>
        <v>MOTOR</v>
      </c>
      <c r="Q271">
        <f t="shared" ca="1" si="39"/>
        <v>293</v>
      </c>
    </row>
    <row r="272" spans="1:17" ht="15" customHeight="1" x14ac:dyDescent="0.35">
      <c r="A272">
        <v>269</v>
      </c>
      <c r="B272" t="s">
        <v>295</v>
      </c>
      <c r="C272" s="3">
        <v>45858</v>
      </c>
      <c r="D272" t="s">
        <v>16</v>
      </c>
      <c r="E272" s="6">
        <v>50</v>
      </c>
      <c r="F272" s="7">
        <v>376.36</v>
      </c>
      <c r="G272" s="7">
        <v>1097.74</v>
      </c>
      <c r="H272" t="s">
        <v>13</v>
      </c>
      <c r="I272" t="s">
        <v>318</v>
      </c>
      <c r="J272" s="6">
        <f t="shared" si="32"/>
        <v>2025</v>
      </c>
      <c r="K272" t="str">
        <f t="shared" si="33"/>
        <v>Jul-2025</v>
      </c>
      <c r="L272" t="str">
        <f t="shared" si="34"/>
        <v>Mid-Age (41-60)</v>
      </c>
      <c r="M272" s="8">
        <f t="shared" si="35"/>
        <v>2.92</v>
      </c>
      <c r="N272" t="str">
        <f t="shared" si="36"/>
        <v>Needs Review</v>
      </c>
      <c r="O272" t="str">
        <f t="shared" si="37"/>
        <v>POL</v>
      </c>
      <c r="P272" t="str">
        <f t="shared" si="38"/>
        <v>PROPERTY</v>
      </c>
      <c r="Q272">
        <f t="shared" ca="1" si="39"/>
        <v>292</v>
      </c>
    </row>
    <row r="273" spans="1:17" ht="15" customHeight="1" x14ac:dyDescent="0.35">
      <c r="A273">
        <v>270</v>
      </c>
      <c r="B273" t="s">
        <v>296</v>
      </c>
      <c r="C273" s="3">
        <v>46228</v>
      </c>
      <c r="D273" t="s">
        <v>19</v>
      </c>
      <c r="E273" s="6">
        <v>52</v>
      </c>
      <c r="F273" s="7">
        <v>339.59</v>
      </c>
      <c r="G273" s="7">
        <v>0</v>
      </c>
      <c r="H273" t="s">
        <v>10</v>
      </c>
      <c r="I273" t="s">
        <v>318</v>
      </c>
      <c r="J273" s="6">
        <f t="shared" si="32"/>
        <v>2026</v>
      </c>
      <c r="K273" t="str">
        <f t="shared" si="33"/>
        <v>Jul-2026</v>
      </c>
      <c r="L273" t="str">
        <f t="shared" si="34"/>
        <v>Mid-Age (41-60)</v>
      </c>
      <c r="M273" s="8">
        <f t="shared" si="35"/>
        <v>0</v>
      </c>
      <c r="N273" t="str">
        <f t="shared" si="36"/>
        <v>Normal</v>
      </c>
      <c r="O273" t="str">
        <f t="shared" si="37"/>
        <v>POL</v>
      </c>
      <c r="P273" t="str">
        <f t="shared" si="38"/>
        <v>HEALTH</v>
      </c>
      <c r="Q273">
        <f t="shared" ca="1" si="39"/>
        <v>27</v>
      </c>
    </row>
    <row r="274" spans="1:17" ht="15" customHeight="1" x14ac:dyDescent="0.35">
      <c r="A274">
        <v>271</v>
      </c>
      <c r="B274" t="s">
        <v>297</v>
      </c>
      <c r="C274" s="3">
        <v>45919</v>
      </c>
      <c r="D274" t="s">
        <v>19</v>
      </c>
      <c r="E274" s="6">
        <v>68</v>
      </c>
      <c r="F274" s="7">
        <v>436.45</v>
      </c>
      <c r="G274" s="7">
        <v>2970.52</v>
      </c>
      <c r="H274" t="s">
        <v>17</v>
      </c>
      <c r="I274" t="s">
        <v>318</v>
      </c>
      <c r="J274" s="6">
        <f t="shared" si="32"/>
        <v>2025</v>
      </c>
      <c r="K274" t="str">
        <f t="shared" si="33"/>
        <v>Sep-2025</v>
      </c>
      <c r="L274" t="str">
        <f t="shared" si="34"/>
        <v>Senior (60+)</v>
      </c>
      <c r="M274" s="8">
        <f t="shared" si="35"/>
        <v>6.81</v>
      </c>
      <c r="N274" t="str">
        <f t="shared" si="36"/>
        <v>Normal</v>
      </c>
      <c r="O274" t="str">
        <f t="shared" si="37"/>
        <v>POL</v>
      </c>
      <c r="P274" t="str">
        <f t="shared" si="38"/>
        <v>HEALTH</v>
      </c>
      <c r="Q274">
        <f t="shared" ca="1" si="39"/>
        <v>248</v>
      </c>
    </row>
    <row r="275" spans="1:17" ht="15" customHeight="1" x14ac:dyDescent="0.35">
      <c r="A275">
        <v>272</v>
      </c>
      <c r="B275" t="s">
        <v>298</v>
      </c>
      <c r="C275" s="3">
        <v>45744</v>
      </c>
      <c r="D275" t="s">
        <v>9</v>
      </c>
      <c r="E275" s="6">
        <v>26</v>
      </c>
      <c r="F275" s="7">
        <v>504.32</v>
      </c>
      <c r="G275" s="7">
        <v>1353.33</v>
      </c>
      <c r="H275" t="s">
        <v>17</v>
      </c>
      <c r="I275" t="s">
        <v>318</v>
      </c>
      <c r="J275" s="6">
        <f t="shared" si="32"/>
        <v>2025</v>
      </c>
      <c r="K275" t="str">
        <f t="shared" si="33"/>
        <v>Mar-2025</v>
      </c>
      <c r="L275" t="str">
        <f t="shared" si="34"/>
        <v>Adult (25-40)</v>
      </c>
      <c r="M275" s="8">
        <f t="shared" si="35"/>
        <v>2.68</v>
      </c>
      <c r="N275" t="str">
        <f t="shared" si="36"/>
        <v>Normal</v>
      </c>
      <c r="O275" t="str">
        <f t="shared" si="37"/>
        <v>POL</v>
      </c>
      <c r="P275" t="str">
        <f t="shared" si="38"/>
        <v>LIFE</v>
      </c>
      <c r="Q275">
        <f t="shared" ca="1" si="39"/>
        <v>373</v>
      </c>
    </row>
    <row r="276" spans="1:17" ht="15" customHeight="1" x14ac:dyDescent="0.35">
      <c r="A276">
        <v>273</v>
      </c>
      <c r="B276" t="s">
        <v>299</v>
      </c>
      <c r="C276" s="3">
        <v>46038</v>
      </c>
      <c r="D276" t="s">
        <v>19</v>
      </c>
      <c r="E276" s="6">
        <v>46</v>
      </c>
      <c r="F276" s="7">
        <v>257.97000000000003</v>
      </c>
      <c r="G276" s="7">
        <v>0</v>
      </c>
      <c r="H276" t="s">
        <v>10</v>
      </c>
      <c r="I276" t="s">
        <v>319</v>
      </c>
      <c r="J276" s="6">
        <f t="shared" si="32"/>
        <v>2026</v>
      </c>
      <c r="K276" t="str">
        <f t="shared" si="33"/>
        <v>Jan-2026</v>
      </c>
      <c r="L276" t="str">
        <f t="shared" si="34"/>
        <v>Mid-Age (41-60)</v>
      </c>
      <c r="M276" s="8">
        <f t="shared" si="35"/>
        <v>0</v>
      </c>
      <c r="N276" t="str">
        <f t="shared" si="36"/>
        <v>Normal</v>
      </c>
      <c r="O276" t="str">
        <f t="shared" si="37"/>
        <v>POL</v>
      </c>
      <c r="P276" t="str">
        <f t="shared" si="38"/>
        <v>HEALTH</v>
      </c>
      <c r="Q276">
        <f t="shared" ca="1" si="39"/>
        <v>163</v>
      </c>
    </row>
    <row r="277" spans="1:17" ht="15" customHeight="1" x14ac:dyDescent="0.35">
      <c r="A277">
        <v>274</v>
      </c>
      <c r="B277" t="s">
        <v>300</v>
      </c>
      <c r="C277" s="3">
        <v>45929</v>
      </c>
      <c r="D277" t="s">
        <v>12</v>
      </c>
      <c r="E277" s="6">
        <v>46</v>
      </c>
      <c r="F277" s="7">
        <v>292.55</v>
      </c>
      <c r="G277" s="7">
        <v>0</v>
      </c>
      <c r="H277" t="s">
        <v>10</v>
      </c>
      <c r="I277" t="s">
        <v>320</v>
      </c>
      <c r="J277" s="6">
        <f t="shared" si="32"/>
        <v>2025</v>
      </c>
      <c r="K277" t="str">
        <f t="shared" si="33"/>
        <v>Sep-2025</v>
      </c>
      <c r="L277" t="str">
        <f t="shared" si="34"/>
        <v>Mid-Age (41-60)</v>
      </c>
      <c r="M277" s="8">
        <f t="shared" si="35"/>
        <v>0</v>
      </c>
      <c r="N277" t="str">
        <f t="shared" si="36"/>
        <v>Normal</v>
      </c>
      <c r="O277" t="str">
        <f t="shared" si="37"/>
        <v>POL</v>
      </c>
      <c r="P277" t="str">
        <f t="shared" si="38"/>
        <v>MOTOR</v>
      </c>
      <c r="Q277">
        <f t="shared" ca="1" si="39"/>
        <v>242</v>
      </c>
    </row>
    <row r="278" spans="1:17" ht="15" customHeight="1" x14ac:dyDescent="0.35">
      <c r="A278">
        <v>275</v>
      </c>
      <c r="B278" t="s">
        <v>301</v>
      </c>
      <c r="C278" s="3">
        <v>46054</v>
      </c>
      <c r="D278" t="s">
        <v>12</v>
      </c>
      <c r="E278" s="6">
        <v>47</v>
      </c>
      <c r="F278" s="7">
        <v>287.26</v>
      </c>
      <c r="G278" s="7">
        <v>0</v>
      </c>
      <c r="H278" t="s">
        <v>10</v>
      </c>
      <c r="I278" t="s">
        <v>319</v>
      </c>
      <c r="J278" s="6">
        <f t="shared" si="32"/>
        <v>2026</v>
      </c>
      <c r="K278" t="str">
        <f t="shared" si="33"/>
        <v>Feb-2026</v>
      </c>
      <c r="L278" t="str">
        <f t="shared" si="34"/>
        <v>Mid-Age (41-60)</v>
      </c>
      <c r="M278" s="8">
        <f t="shared" si="35"/>
        <v>0</v>
      </c>
      <c r="N278" t="str">
        <f t="shared" si="36"/>
        <v>Normal</v>
      </c>
      <c r="O278" t="str">
        <f t="shared" si="37"/>
        <v>POL</v>
      </c>
      <c r="P278" t="str">
        <f t="shared" si="38"/>
        <v>MOTOR</v>
      </c>
      <c r="Q278">
        <f t="shared" ca="1" si="39"/>
        <v>152</v>
      </c>
    </row>
    <row r="279" spans="1:17" ht="15" customHeight="1" x14ac:dyDescent="0.35">
      <c r="A279">
        <v>276</v>
      </c>
      <c r="B279" t="s">
        <v>302</v>
      </c>
      <c r="C279" s="3">
        <v>46033</v>
      </c>
      <c r="D279" t="s">
        <v>19</v>
      </c>
      <c r="E279" s="6">
        <v>30</v>
      </c>
      <c r="F279" s="7">
        <v>387.67</v>
      </c>
      <c r="G279" s="7">
        <v>0</v>
      </c>
      <c r="H279" t="s">
        <v>10</v>
      </c>
      <c r="I279" t="s">
        <v>318</v>
      </c>
      <c r="J279" s="6">
        <f t="shared" si="32"/>
        <v>2026</v>
      </c>
      <c r="K279" t="str">
        <f t="shared" si="33"/>
        <v>Jan-2026</v>
      </c>
      <c r="L279" t="str">
        <f t="shared" si="34"/>
        <v>Adult (25-40)</v>
      </c>
      <c r="M279" s="8">
        <f t="shared" si="35"/>
        <v>0</v>
      </c>
      <c r="N279" t="str">
        <f t="shared" si="36"/>
        <v>Normal</v>
      </c>
      <c r="O279" t="str">
        <f t="shared" si="37"/>
        <v>POL</v>
      </c>
      <c r="P279" t="str">
        <f t="shared" si="38"/>
        <v>HEALTH</v>
      </c>
      <c r="Q279">
        <f t="shared" ca="1" si="39"/>
        <v>167</v>
      </c>
    </row>
    <row r="280" spans="1:17" ht="15" customHeight="1" x14ac:dyDescent="0.35">
      <c r="A280">
        <v>277</v>
      </c>
      <c r="B280" t="s">
        <v>303</v>
      </c>
      <c r="C280" s="3">
        <v>46107</v>
      </c>
      <c r="D280" t="s">
        <v>9</v>
      </c>
      <c r="E280" s="6">
        <v>20</v>
      </c>
      <c r="F280" s="7">
        <v>398.51</v>
      </c>
      <c r="G280" s="7">
        <v>0</v>
      </c>
      <c r="H280" t="s">
        <v>10</v>
      </c>
      <c r="I280" t="s">
        <v>318</v>
      </c>
      <c r="J280" s="6">
        <f t="shared" si="32"/>
        <v>2026</v>
      </c>
      <c r="K280" t="str">
        <f t="shared" si="33"/>
        <v>Mar-2026</v>
      </c>
      <c r="L280" t="str">
        <f t="shared" si="34"/>
        <v>Young (18-24)</v>
      </c>
      <c r="M280" s="8">
        <f t="shared" si="35"/>
        <v>0</v>
      </c>
      <c r="N280" t="str">
        <f t="shared" si="36"/>
        <v>Normal</v>
      </c>
      <c r="O280" t="str">
        <f t="shared" si="37"/>
        <v>POL</v>
      </c>
      <c r="P280" t="str">
        <f t="shared" si="38"/>
        <v>LIFE</v>
      </c>
      <c r="Q280">
        <f t="shared" ca="1" si="39"/>
        <v>114</v>
      </c>
    </row>
    <row r="281" spans="1:17" ht="15" customHeight="1" x14ac:dyDescent="0.35">
      <c r="A281">
        <v>278</v>
      </c>
      <c r="B281" t="s">
        <v>304</v>
      </c>
      <c r="C281" s="3">
        <v>45889</v>
      </c>
      <c r="D281" t="s">
        <v>9</v>
      </c>
      <c r="E281" s="6">
        <v>32</v>
      </c>
      <c r="F281" s="7">
        <v>316.87</v>
      </c>
      <c r="G281" s="7">
        <v>0</v>
      </c>
      <c r="H281" t="s">
        <v>10</v>
      </c>
      <c r="I281" t="s">
        <v>318</v>
      </c>
      <c r="J281" s="6">
        <f t="shared" si="32"/>
        <v>2025</v>
      </c>
      <c r="K281" t="str">
        <f t="shared" si="33"/>
        <v>Aug-2025</v>
      </c>
      <c r="L281" t="str">
        <f t="shared" si="34"/>
        <v>Adult (25-40)</v>
      </c>
      <c r="M281" s="8">
        <f t="shared" si="35"/>
        <v>0</v>
      </c>
      <c r="N281" t="str">
        <f t="shared" si="36"/>
        <v>Normal</v>
      </c>
      <c r="O281" t="str">
        <f t="shared" si="37"/>
        <v>POL</v>
      </c>
      <c r="P281" t="str">
        <f t="shared" si="38"/>
        <v>LIFE</v>
      </c>
      <c r="Q281">
        <f t="shared" ca="1" si="39"/>
        <v>270</v>
      </c>
    </row>
  </sheetData>
  <mergeCells count="1">
    <mergeCell ref="A1:N1"/>
  </mergeCells>
  <conditionalFormatting sqref="F4:F281">
    <cfRule type="dataBar" priority="5">
      <dataBar>
        <cfvo type="min"/>
        <cfvo type="max"/>
        <color rgb="FF638EC6"/>
      </dataBar>
      <extLst>
        <ext xmlns:x14="http://schemas.microsoft.com/office/spreadsheetml/2009/9/main" uri="{B025F937-C7B1-47D3-B67F-A62EFF666E3E}">
          <x14:id>{D96081A7-E2C0-4E46-AFB9-FDD9B0A526D6}</x14:id>
        </ext>
      </extLst>
    </cfRule>
  </conditionalFormatting>
  <conditionalFormatting sqref="G4:G281">
    <cfRule type="colorScale" priority="2">
      <colorScale>
        <cfvo type="min"/>
        <cfvo type="percentile" val="50"/>
        <cfvo type="max"/>
        <color rgb="FFC6EFCE"/>
        <color rgb="FFFFEB9C"/>
        <color rgb="FFFFC7CE"/>
      </colorScale>
    </cfRule>
  </conditionalFormatting>
  <conditionalFormatting sqref="N4:N281">
    <cfRule type="cellIs" dxfId="1" priority="3" operator="equal">
      <formula>"Needs Review"</formula>
    </cfRule>
    <cfRule type="cellIs" dxfId="0" priority="4" operator="equal">
      <formula>"High-Value Approved"</formula>
    </cfRule>
  </conditionalFormatting>
  <pageMargins left="0.3" right="0.3" top="0.4" bottom="0.4" header="0.511811023622047" footer="0.511811023622047"/>
  <pageSetup paperSize="9" fitToHeight="0" orientation="landscape" horizontalDpi="300" verticalDpi="300"/>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96081A7-E2C0-4E46-AFB9-FDD9B0A526D6}">
            <x14:dataBar axisPosition="none">
              <x14:cfvo type="min"/>
              <x14:cfvo type="max"/>
              <x14:negativeFillColor rgb="FF638EC6"/>
            </x14:dataBar>
          </x14:cfRule>
          <xm:sqref>F4:F281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EA9DB"/>
    <pageSetUpPr fitToPage="1"/>
  </sheetPr>
  <dimension ref="A1:D21"/>
  <sheetViews>
    <sheetView showGridLines="0" topLeftCell="A18" zoomScaleNormal="100" workbookViewId="0">
      <selection sqref="A1:D1"/>
    </sheetView>
  </sheetViews>
  <sheetFormatPr defaultColWidth="8.6328125" defaultRowHeight="14.5" x14ac:dyDescent="0.35"/>
  <cols>
    <col min="1" max="1" width="16" customWidth="1"/>
    <col min="2" max="2" width="45" customWidth="1"/>
    <col min="3" max="3" width="14" customWidth="1"/>
    <col min="4" max="4" width="55" customWidth="1"/>
  </cols>
  <sheetData>
    <row r="1" spans="1:4" ht="15.75" customHeight="1" x14ac:dyDescent="0.35">
      <c r="A1" s="32" t="s">
        <v>325</v>
      </c>
      <c r="B1" s="32"/>
      <c r="C1" s="32"/>
      <c r="D1" s="32"/>
    </row>
    <row r="2" spans="1:4" ht="15" customHeight="1" x14ac:dyDescent="0.35">
      <c r="A2" s="33" t="s">
        <v>326</v>
      </c>
      <c r="B2" s="33"/>
      <c r="C2" s="33"/>
      <c r="D2" s="33"/>
    </row>
    <row r="4" spans="1:4" ht="26.25" customHeight="1" x14ac:dyDescent="0.35">
      <c r="A4" s="9" t="s">
        <v>327</v>
      </c>
      <c r="B4" s="9" t="s">
        <v>328</v>
      </c>
      <c r="C4" s="9" t="s">
        <v>329</v>
      </c>
      <c r="D4" s="9" t="s">
        <v>330</v>
      </c>
    </row>
    <row r="5" spans="1:4" ht="27.75" customHeight="1" x14ac:dyDescent="0.35">
      <c r="A5" s="10" t="s">
        <v>1</v>
      </c>
      <c r="B5" s="10" t="s">
        <v>331</v>
      </c>
      <c r="C5" s="10">
        <v>15</v>
      </c>
      <c r="D5" s="10" t="s">
        <v>332</v>
      </c>
    </row>
    <row r="6" spans="1:4" ht="27.75" customHeight="1" x14ac:dyDescent="0.35">
      <c r="A6" s="10" t="s">
        <v>333</v>
      </c>
      <c r="B6" s="10" t="s">
        <v>334</v>
      </c>
      <c r="C6" s="10">
        <v>6</v>
      </c>
      <c r="D6" s="10" t="s">
        <v>335</v>
      </c>
    </row>
    <row r="7" spans="1:4" ht="27.75" customHeight="1" x14ac:dyDescent="0.35">
      <c r="A7" s="10" t="s">
        <v>336</v>
      </c>
      <c r="B7" s="10" t="s">
        <v>337</v>
      </c>
      <c r="C7" s="10">
        <v>1</v>
      </c>
      <c r="D7" s="10" t="s">
        <v>338</v>
      </c>
    </row>
    <row r="8" spans="1:4" ht="27.75" customHeight="1" x14ac:dyDescent="0.35">
      <c r="A8" s="10" t="s">
        <v>3</v>
      </c>
      <c r="B8" s="10" t="s">
        <v>339</v>
      </c>
      <c r="C8" s="10">
        <v>5</v>
      </c>
      <c r="D8" s="10" t="s">
        <v>340</v>
      </c>
    </row>
    <row r="9" spans="1:4" ht="27.75" customHeight="1" x14ac:dyDescent="0.35">
      <c r="A9" s="10" t="s">
        <v>3</v>
      </c>
      <c r="B9" s="10" t="s">
        <v>341</v>
      </c>
      <c r="C9" s="10">
        <v>17</v>
      </c>
      <c r="D9" s="10" t="s">
        <v>342</v>
      </c>
    </row>
    <row r="10" spans="1:4" ht="27.75" customHeight="1" x14ac:dyDescent="0.35">
      <c r="A10" s="10" t="s">
        <v>7</v>
      </c>
      <c r="B10" s="10" t="s">
        <v>343</v>
      </c>
      <c r="C10" s="10">
        <v>5</v>
      </c>
      <c r="D10" s="10" t="s">
        <v>340</v>
      </c>
    </row>
    <row r="11" spans="1:4" ht="27.75" customHeight="1" x14ac:dyDescent="0.35">
      <c r="A11" s="10" t="s">
        <v>7</v>
      </c>
      <c r="B11" s="10" t="s">
        <v>341</v>
      </c>
      <c r="C11" s="10">
        <v>16</v>
      </c>
      <c r="D11" s="10" t="s">
        <v>344</v>
      </c>
    </row>
    <row r="12" spans="1:4" ht="27.75" customHeight="1" x14ac:dyDescent="0.35">
      <c r="A12" s="10" t="s">
        <v>4</v>
      </c>
      <c r="B12" s="10" t="s">
        <v>345</v>
      </c>
      <c r="C12" s="10">
        <v>1</v>
      </c>
      <c r="D12" s="10" t="s">
        <v>346</v>
      </c>
    </row>
    <row r="13" spans="1:4" ht="27.75" customHeight="1" x14ac:dyDescent="0.35">
      <c r="A13" s="10" t="s">
        <v>4</v>
      </c>
      <c r="B13" s="10" t="s">
        <v>347</v>
      </c>
      <c r="C13" s="10">
        <v>1</v>
      </c>
      <c r="D13" s="10" t="s">
        <v>346</v>
      </c>
    </row>
    <row r="14" spans="1:4" ht="27.75" customHeight="1" x14ac:dyDescent="0.35">
      <c r="A14" s="10" t="s">
        <v>4</v>
      </c>
      <c r="B14" s="10" t="s">
        <v>348</v>
      </c>
      <c r="C14" s="10">
        <v>19</v>
      </c>
      <c r="D14" s="10" t="s">
        <v>349</v>
      </c>
    </row>
    <row r="15" spans="1:4" ht="27.75" customHeight="1" x14ac:dyDescent="0.35">
      <c r="A15" s="10" t="s">
        <v>5</v>
      </c>
      <c r="B15" s="10" t="s">
        <v>350</v>
      </c>
      <c r="C15" s="10">
        <v>1</v>
      </c>
      <c r="D15" s="10" t="s">
        <v>346</v>
      </c>
    </row>
    <row r="16" spans="1:4" ht="27.75" customHeight="1" x14ac:dyDescent="0.35">
      <c r="A16" s="10" t="s">
        <v>5</v>
      </c>
      <c r="B16" s="10" t="s">
        <v>348</v>
      </c>
      <c r="C16" s="10">
        <v>16</v>
      </c>
      <c r="D16" s="10" t="s">
        <v>351</v>
      </c>
    </row>
    <row r="17" spans="1:4" ht="27.75" customHeight="1" x14ac:dyDescent="0.35">
      <c r="A17" s="10" t="s">
        <v>6</v>
      </c>
      <c r="B17" s="10" t="s">
        <v>352</v>
      </c>
      <c r="C17" s="10">
        <v>1</v>
      </c>
      <c r="D17" s="10" t="s">
        <v>353</v>
      </c>
    </row>
    <row r="18" spans="1:4" ht="27.75" customHeight="1" x14ac:dyDescent="0.35">
      <c r="A18" s="10" t="s">
        <v>6</v>
      </c>
      <c r="B18" s="10" t="s">
        <v>354</v>
      </c>
      <c r="C18" s="10">
        <v>1</v>
      </c>
      <c r="D18" s="10" t="s">
        <v>353</v>
      </c>
    </row>
    <row r="19" spans="1:4" ht="27.75" customHeight="1" x14ac:dyDescent="0.35">
      <c r="A19" s="10" t="s">
        <v>6</v>
      </c>
      <c r="B19" s="10" t="s">
        <v>355</v>
      </c>
      <c r="C19" s="10">
        <v>7</v>
      </c>
      <c r="D19" s="10" t="s">
        <v>356</v>
      </c>
    </row>
    <row r="20" spans="1:4" ht="27.75" customHeight="1" x14ac:dyDescent="0.35">
      <c r="A20" s="10" t="s">
        <v>6</v>
      </c>
      <c r="B20" s="10" t="s">
        <v>357</v>
      </c>
      <c r="C20" s="10">
        <v>14</v>
      </c>
      <c r="D20" s="10" t="s">
        <v>358</v>
      </c>
    </row>
    <row r="21" spans="1:4" ht="27.75" customHeight="1" x14ac:dyDescent="0.35">
      <c r="A21" s="10" t="s">
        <v>2</v>
      </c>
      <c r="B21" s="10" t="s">
        <v>341</v>
      </c>
      <c r="C21" s="10">
        <v>17</v>
      </c>
      <c r="D21" s="10" t="s">
        <v>359</v>
      </c>
    </row>
  </sheetData>
  <mergeCells count="2">
    <mergeCell ref="A1:D1"/>
    <mergeCell ref="A2:D2"/>
  </mergeCells>
  <pageMargins left="0.3" right="0.3" top="0.4" bottom="0.4" header="0.511811023622047" footer="0.511811023622047"/>
  <pageSetup paperSize="9" fitToHeight="0"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F72"/>
  <sheetViews>
    <sheetView showGridLines="0" zoomScaleNormal="100" workbookViewId="0">
      <selection activeCell="G66" sqref="G66"/>
    </sheetView>
  </sheetViews>
  <sheetFormatPr defaultColWidth="8.6328125" defaultRowHeight="14.5" x14ac:dyDescent="0.35"/>
  <cols>
    <col min="1" max="1" width="26" customWidth="1"/>
    <col min="2" max="7" width="15" customWidth="1"/>
  </cols>
  <sheetData>
    <row r="1" spans="1:6" ht="19.5" customHeight="1" x14ac:dyDescent="0.4">
      <c r="A1" s="34" t="s">
        <v>360</v>
      </c>
      <c r="B1" s="34"/>
      <c r="C1" s="34"/>
      <c r="D1" s="34"/>
      <c r="E1" s="34"/>
      <c r="F1" s="34"/>
    </row>
    <row r="3" spans="1:6" ht="15.75" customHeight="1" x14ac:dyDescent="0.35">
      <c r="A3" s="1" t="s">
        <v>361</v>
      </c>
    </row>
    <row r="5" spans="1:6" ht="15" customHeight="1" x14ac:dyDescent="0.35">
      <c r="A5" s="2" t="s">
        <v>362</v>
      </c>
      <c r="B5" s="2" t="s">
        <v>363</v>
      </c>
      <c r="C5" s="2" t="s">
        <v>364</v>
      </c>
    </row>
    <row r="6" spans="1:6" ht="15" customHeight="1" x14ac:dyDescent="0.35">
      <c r="A6" s="11" t="s">
        <v>365</v>
      </c>
      <c r="B6" s="7">
        <f>SUM(CleanData[Premium])</f>
        <v>95982.350000000049</v>
      </c>
      <c r="C6" s="7">
        <f>SUM(CleanData[Claim_Amount])</f>
        <v>299507.19</v>
      </c>
    </row>
    <row r="7" spans="1:6" ht="15" customHeight="1" x14ac:dyDescent="0.35">
      <c r="A7" s="11" t="s">
        <v>366</v>
      </c>
      <c r="B7" s="7">
        <f>AVERAGE(CleanData[Premium])</f>
        <v>345.26025179856134</v>
      </c>
      <c r="C7" s="7">
        <f>AVERAGE(CleanData[Claim_Amount])</f>
        <v>1077.3639928057555</v>
      </c>
    </row>
    <row r="8" spans="1:6" ht="15" customHeight="1" x14ac:dyDescent="0.35">
      <c r="A8" s="11" t="s">
        <v>367</v>
      </c>
      <c r="B8" s="7">
        <f>COUNT(CleanData[Premium])</f>
        <v>278</v>
      </c>
      <c r="C8" s="7">
        <f>COUNT(CleanData[Claim_Amount])</f>
        <v>278</v>
      </c>
    </row>
    <row r="9" spans="1:6" ht="15" customHeight="1" x14ac:dyDescent="0.35">
      <c r="A9" s="11" t="s">
        <v>368</v>
      </c>
      <c r="B9" s="7">
        <f>MIN(CleanData[Premium])</f>
        <v>82.95</v>
      </c>
      <c r="C9" s="7">
        <f>MIN(CleanData[Claim_Amount])</f>
        <v>0</v>
      </c>
    </row>
    <row r="10" spans="1:6" ht="15" customHeight="1" x14ac:dyDescent="0.35">
      <c r="A10" s="11" t="s">
        <v>369</v>
      </c>
      <c r="B10" s="7">
        <f>MAX(CleanData[Premium])</f>
        <v>572</v>
      </c>
      <c r="C10" s="7">
        <f>MAX(CleanData[Claim_Amount])</f>
        <v>4924.33</v>
      </c>
    </row>
    <row r="12" spans="1:6" ht="15.75" customHeight="1" x14ac:dyDescent="0.35">
      <c r="A12" s="1" t="s">
        <v>370</v>
      </c>
    </row>
    <row r="14" spans="1:6" ht="15" customHeight="1" x14ac:dyDescent="0.35">
      <c r="A14" s="2" t="s">
        <v>371</v>
      </c>
      <c r="B14" s="2" t="s">
        <v>372</v>
      </c>
      <c r="C14" s="2" t="s">
        <v>373</v>
      </c>
      <c r="D14" s="2" t="s">
        <v>374</v>
      </c>
      <c r="E14" s="2" t="s">
        <v>375</v>
      </c>
    </row>
    <row r="15" spans="1:6" ht="15" customHeight="1" x14ac:dyDescent="0.35">
      <c r="A15" s="11" t="s">
        <v>19</v>
      </c>
      <c r="B15">
        <f>COUNTIF(CleanData[Policy_Type],A15)</f>
        <v>95</v>
      </c>
      <c r="C15" s="7">
        <f>SUMIF(CleanData[Policy_Type],A15,CleanData[Premium])</f>
        <v>32478.200000000019</v>
      </c>
      <c r="D15" s="7">
        <f>AVERAGEIF(CleanData[Policy_Type],A15,CleanData[Claim_Amount])</f>
        <v>1107.3044210526314</v>
      </c>
      <c r="E15" s="7">
        <f>SUMIFS(CleanData[Claim_Amount],CleanData[Policy_Type],A15,CleanData[Claim_Status],"Approved")</f>
        <v>42084.14</v>
      </c>
    </row>
    <row r="16" spans="1:6" ht="15" customHeight="1" x14ac:dyDescent="0.35">
      <c r="A16" s="11" t="s">
        <v>12</v>
      </c>
      <c r="B16">
        <f>COUNTIF(CleanData[Policy_Type],A16)</f>
        <v>61</v>
      </c>
      <c r="C16" s="7">
        <f>SUMIF(CleanData[Policy_Type],A16,CleanData[Premium])</f>
        <v>17845.819999999992</v>
      </c>
      <c r="D16" s="7">
        <f>AVERAGEIF(CleanData[Policy_Type],A16,CleanData[Claim_Amount])</f>
        <v>863.76721311475387</v>
      </c>
      <c r="E16" s="7">
        <f>SUMIFS(CleanData[Claim_Amount],CleanData[Policy_Type],A16,CleanData[Claim_Status],"Approved")</f>
        <v>18856.599999999999</v>
      </c>
    </row>
    <row r="17" spans="1:6" ht="15" customHeight="1" x14ac:dyDescent="0.35">
      <c r="A17" s="11" t="s">
        <v>9</v>
      </c>
      <c r="B17">
        <f>COUNTIF(CleanData[Policy_Type],A17)</f>
        <v>56</v>
      </c>
      <c r="C17" s="7">
        <f>SUMIF(CleanData[Policy_Type],A17,CleanData[Premium])</f>
        <v>23128.94</v>
      </c>
      <c r="D17" s="7">
        <f>AVERAGEIF(CleanData[Policy_Type],A17,CleanData[Claim_Amount])</f>
        <v>1151.0982142857142</v>
      </c>
      <c r="E17" s="7">
        <f>SUMIFS(CleanData[Claim_Amount],CleanData[Policy_Type],A17,CleanData[Claim_Status],"Approved")</f>
        <v>35576.11</v>
      </c>
    </row>
    <row r="18" spans="1:6" ht="15" customHeight="1" x14ac:dyDescent="0.35">
      <c r="A18" s="11" t="s">
        <v>16</v>
      </c>
      <c r="B18">
        <f>COUNTIF(CleanData[Policy_Type],A18)</f>
        <v>46</v>
      </c>
      <c r="C18" s="7">
        <f>SUMIF(CleanData[Policy_Type],A18,CleanData[Premium])</f>
        <v>20403.419999999998</v>
      </c>
      <c r="D18" s="7">
        <f>AVERAGEIF(CleanData[Policy_Type],A18,CleanData[Claim_Amount])</f>
        <v>1502.6943478260871</v>
      </c>
      <c r="E18" s="7">
        <f>SUMIFS(CleanData[Claim_Amount],CleanData[Policy_Type],A18,CleanData[Claim_Status],"Approved")</f>
        <v>28896.639999999999</v>
      </c>
    </row>
    <row r="19" spans="1:6" ht="15" customHeight="1" x14ac:dyDescent="0.35">
      <c r="A19" s="11" t="s">
        <v>40</v>
      </c>
      <c r="B19">
        <f>COUNTIF(CleanData[Policy_Type],A19)</f>
        <v>20</v>
      </c>
      <c r="C19" s="7">
        <f>SUMIF(CleanData[Policy_Type],A19,CleanData[Premium])</f>
        <v>2125.9700000000003</v>
      </c>
      <c r="D19" s="7">
        <f>AVERAGEIF(CleanData[Policy_Type],A19,CleanData[Claim_Amount])</f>
        <v>401.90150000000006</v>
      </c>
      <c r="E19" s="7">
        <f>SUMIFS(CleanData[Claim_Amount],CleanData[Policy_Type],A19,CleanData[Claim_Status],"Approved")</f>
        <v>3220.86</v>
      </c>
    </row>
    <row r="20" spans="1:6" ht="15" customHeight="1" x14ac:dyDescent="0.35">
      <c r="A20" s="12" t="s">
        <v>376</v>
      </c>
      <c r="B20" s="13">
        <f>SUM(B15:B19)</f>
        <v>278</v>
      </c>
      <c r="C20" s="14">
        <f>SUM(C15:C19)</f>
        <v>95982.35</v>
      </c>
    </row>
    <row r="22" spans="1:6" ht="15.75" customHeight="1" x14ac:dyDescent="0.35">
      <c r="A22" s="1" t="s">
        <v>377</v>
      </c>
    </row>
    <row r="24" spans="1:6" ht="15" customHeight="1" x14ac:dyDescent="0.35">
      <c r="A24" s="33" t="s">
        <v>378</v>
      </c>
      <c r="B24" s="33"/>
      <c r="C24" s="33"/>
      <c r="D24" s="33"/>
      <c r="E24" s="33"/>
      <c r="F24" s="33"/>
    </row>
    <row r="26" spans="1:6" ht="15" customHeight="1" x14ac:dyDescent="0.35">
      <c r="A26" s="2" t="s">
        <v>379</v>
      </c>
      <c r="B26" s="2" t="s">
        <v>380</v>
      </c>
    </row>
    <row r="27" spans="1:6" ht="15" customHeight="1" x14ac:dyDescent="0.35">
      <c r="A27" s="11" t="s">
        <v>381</v>
      </c>
      <c r="B27">
        <f>COUNTIF(CleanData[Priority_Flag],A27)</f>
        <v>13</v>
      </c>
    </row>
    <row r="28" spans="1:6" ht="15" customHeight="1" x14ac:dyDescent="0.35">
      <c r="A28" s="11" t="s">
        <v>382</v>
      </c>
      <c r="B28">
        <f>COUNTIF(CleanData[Priority_Flag],A28)</f>
        <v>56</v>
      </c>
    </row>
    <row r="29" spans="1:6" ht="15" customHeight="1" x14ac:dyDescent="0.35">
      <c r="A29" s="11" t="s">
        <v>383</v>
      </c>
      <c r="B29">
        <f>COUNTIF(CleanData[Priority_Flag],A29)</f>
        <v>209</v>
      </c>
    </row>
    <row r="32" spans="1:6" ht="15.75" customHeight="1" x14ac:dyDescent="0.35">
      <c r="A32" s="1" t="s">
        <v>384</v>
      </c>
    </row>
    <row r="34" spans="1:3" ht="15" customHeight="1" x14ac:dyDescent="0.35">
      <c r="A34" s="11" t="s">
        <v>385</v>
      </c>
      <c r="B34" s="3">
        <f ca="1">TODAY()</f>
        <v>46266</v>
      </c>
    </row>
    <row r="35" spans="1:3" ht="15" customHeight="1" x14ac:dyDescent="0.35">
      <c r="A35" s="11" t="s">
        <v>386</v>
      </c>
      <c r="B35" s="15">
        <f ca="1">NOW()</f>
        <v>46266.508471180554</v>
      </c>
    </row>
    <row r="36" spans="1:3" ht="15" customHeight="1" x14ac:dyDescent="0.35">
      <c r="A36" s="11" t="s">
        <v>387</v>
      </c>
      <c r="B36" s="3">
        <f>MIN(CleanData[Policy_Date])</f>
        <v>45658</v>
      </c>
    </row>
    <row r="37" spans="1:3" ht="15" customHeight="1" x14ac:dyDescent="0.35">
      <c r="A37" s="11" t="s">
        <v>388</v>
      </c>
      <c r="B37" s="3">
        <f>MAX(CleanData[Policy_Date])</f>
        <v>46228</v>
      </c>
    </row>
    <row r="38" spans="1:3" ht="15" customHeight="1" x14ac:dyDescent="0.35">
      <c r="A38" s="11" t="s">
        <v>389</v>
      </c>
      <c r="B38">
        <f>SUMPRODUCT((YEAR(CleanData[Policy_Date])=2025)*1)</f>
        <v>187</v>
      </c>
    </row>
    <row r="39" spans="1:3" ht="15" customHeight="1" x14ac:dyDescent="0.35">
      <c r="A39" s="11" t="s">
        <v>390</v>
      </c>
      <c r="B39">
        <f>SUMPRODUCT((YEAR(CleanData[Policy_Date])=2026)*1)</f>
        <v>91</v>
      </c>
    </row>
    <row r="40" spans="1:3" ht="15" customHeight="1" x14ac:dyDescent="0.35">
      <c r="A40" s="11" t="s">
        <v>391</v>
      </c>
      <c r="B40" s="6">
        <f ca="1">AVERAGE(CleanData[Days_Open])</f>
        <v>236.56115107913669</v>
      </c>
    </row>
    <row r="43" spans="1:3" ht="15.75" customHeight="1" x14ac:dyDescent="0.35">
      <c r="A43" s="1" t="s">
        <v>392</v>
      </c>
    </row>
    <row r="45" spans="1:3" ht="15" customHeight="1" x14ac:dyDescent="0.35">
      <c r="A45" s="2" t="s">
        <v>393</v>
      </c>
      <c r="B45" s="2" t="s">
        <v>394</v>
      </c>
      <c r="C45" s="2" t="s">
        <v>395</v>
      </c>
    </row>
    <row r="46" spans="1:3" ht="15" customHeight="1" x14ac:dyDescent="0.35">
      <c r="A46" s="11" t="s">
        <v>396</v>
      </c>
      <c r="B46" s="16" t="s">
        <v>397</v>
      </c>
      <c r="C46" t="str">
        <f>LEFT(INDEX(CleanData[Policy_ID],1),3)</f>
        <v>POL</v>
      </c>
    </row>
    <row r="47" spans="1:3" ht="15" customHeight="1" x14ac:dyDescent="0.35">
      <c r="A47" s="11" t="s">
        <v>398</v>
      </c>
      <c r="B47" s="16" t="s">
        <v>399</v>
      </c>
      <c r="C47" t="str">
        <f>UPPER(INDEX(CleanData[Policy_Type],1))</f>
        <v>LIFE</v>
      </c>
    </row>
    <row r="48" spans="1:3" ht="15" customHeight="1" x14ac:dyDescent="0.35">
      <c r="A48" s="11" t="s">
        <v>400</v>
      </c>
      <c r="B48" s="16" t="s">
        <v>401</v>
      </c>
      <c r="C48" t="str">
        <f>TRIM(INDEX(CleanData[Claim_Status],1))</f>
        <v>No Claim</v>
      </c>
    </row>
    <row r="49" spans="1:6" ht="15" customHeight="1" x14ac:dyDescent="0.35">
      <c r="A49" s="11" t="s">
        <v>402</v>
      </c>
      <c r="B49" s="16" t="s">
        <v>403</v>
      </c>
      <c r="C49" t="str">
        <f>_xlfn.CONCAT(INDEX(CleanData[Policy_ID],1)," - ",INDEX(CleanData[Policy_Type],1))</f>
        <v>POL00110 - Life</v>
      </c>
    </row>
    <row r="51" spans="1:6" ht="15" customHeight="1" x14ac:dyDescent="0.35">
      <c r="A51" s="35" t="s">
        <v>404</v>
      </c>
      <c r="B51" s="35"/>
      <c r="C51" s="35"/>
      <c r="D51" s="35"/>
      <c r="E51" s="35"/>
      <c r="F51" s="35"/>
    </row>
    <row r="53" spans="1:6" ht="15.75" customHeight="1" x14ac:dyDescent="0.35">
      <c r="A53" s="1" t="s">
        <v>405</v>
      </c>
    </row>
    <row r="55" spans="1:6" ht="60" customHeight="1" x14ac:dyDescent="0.35">
      <c r="A55" s="36"/>
      <c r="B55" s="36"/>
      <c r="C55" s="36"/>
      <c r="D55" s="36"/>
      <c r="E55" s="36"/>
      <c r="F55" s="36"/>
    </row>
    <row r="56" spans="1:6" ht="15" customHeight="1" x14ac:dyDescent="0.35">
      <c r="A56" s="36"/>
      <c r="B56" s="36"/>
      <c r="C56" s="36"/>
      <c r="D56" s="36"/>
      <c r="E56" s="36"/>
      <c r="F56" s="36"/>
    </row>
    <row r="57" spans="1:6" ht="15" customHeight="1" x14ac:dyDescent="0.35">
      <c r="A57" s="36"/>
      <c r="B57" s="36"/>
      <c r="C57" s="36"/>
      <c r="D57" s="36"/>
      <c r="E57" s="36"/>
      <c r="F57" s="36"/>
    </row>
    <row r="58" spans="1:6" ht="15" customHeight="1" x14ac:dyDescent="0.35">
      <c r="A58" s="36"/>
      <c r="B58" s="36"/>
      <c r="C58" s="36"/>
      <c r="D58" s="36"/>
      <c r="E58" s="36"/>
      <c r="F58" s="36"/>
    </row>
    <row r="60" spans="1:6" ht="15.75" customHeight="1" x14ac:dyDescent="0.35">
      <c r="A60" s="1" t="s">
        <v>406</v>
      </c>
    </row>
    <row r="62" spans="1:6" ht="15" customHeight="1" x14ac:dyDescent="0.35">
      <c r="A62" s="2" t="s">
        <v>407</v>
      </c>
      <c r="B62" s="2" t="s">
        <v>408</v>
      </c>
      <c r="C62" s="2" t="s">
        <v>371</v>
      </c>
      <c r="D62" s="2" t="s">
        <v>364</v>
      </c>
    </row>
    <row r="63" spans="1:6" ht="15" customHeight="1" x14ac:dyDescent="0.35">
      <c r="A63">
        <v>1</v>
      </c>
      <c r="B63" t="str">
        <f>INDEX(CleanData[Policy_ID],MATCH(D63,CleanData[Claim_Amount],0))</f>
        <v>POL00066</v>
      </c>
      <c r="C63" t="str">
        <f>INDEX(CleanData[Policy_Type],MATCH(D63,CleanData[Claim_Amount],0))</f>
        <v>Property</v>
      </c>
      <c r="D63" s="7">
        <f>LARGE(CleanData[Claim_Amount],1)</f>
        <v>4924.33</v>
      </c>
    </row>
    <row r="64" spans="1:6" ht="15" customHeight="1" x14ac:dyDescent="0.35">
      <c r="A64">
        <v>2</v>
      </c>
      <c r="B64" t="str">
        <f>INDEX(CleanData[Policy_ID],MATCH(D64,CleanData[Claim_Amount],0))</f>
        <v>POL00129</v>
      </c>
      <c r="C64" t="str">
        <f>INDEX(CleanData[Policy_Type],MATCH(D64,CleanData[Claim_Amount],0))</f>
        <v>Property</v>
      </c>
      <c r="D64" s="7">
        <f>LARGE(CleanData[Claim_Amount],2)</f>
        <v>4841.1099999999997</v>
      </c>
    </row>
    <row r="65" spans="1:4" ht="15" customHeight="1" x14ac:dyDescent="0.35">
      <c r="A65">
        <v>3</v>
      </c>
      <c r="B65" t="str">
        <f>INDEX(CleanData[Policy_ID],MATCH(D65,CleanData[Claim_Amount],0))</f>
        <v>POL00160</v>
      </c>
      <c r="C65" t="str">
        <f>INDEX(CleanData[Policy_Type],MATCH(D65,CleanData[Claim_Amount],0))</f>
        <v>Property</v>
      </c>
      <c r="D65" s="7">
        <f>LARGE(CleanData[Claim_Amount],3)</f>
        <v>4764.9799999999996</v>
      </c>
    </row>
    <row r="66" spans="1:4" ht="15" customHeight="1" x14ac:dyDescent="0.35">
      <c r="A66">
        <v>4</v>
      </c>
      <c r="B66" t="str">
        <f>INDEX(CleanData[Policy_ID],MATCH(D66,CleanData[Claim_Amount],0))</f>
        <v>POL00213</v>
      </c>
      <c r="C66" t="str">
        <f>INDEX(CleanData[Policy_Type],MATCH(D66,CleanData[Claim_Amount],0))</f>
        <v>Property</v>
      </c>
      <c r="D66" s="7">
        <f>LARGE(CleanData[Claim_Amount],4)</f>
        <v>4730.21</v>
      </c>
    </row>
    <row r="67" spans="1:4" ht="15" customHeight="1" x14ac:dyDescent="0.35">
      <c r="A67">
        <v>5</v>
      </c>
      <c r="B67" t="str">
        <f>INDEX(CleanData[Policy_ID],MATCH(D67,CleanData[Claim_Amount],0))</f>
        <v>POL00095</v>
      </c>
      <c r="C67" t="str">
        <f>INDEX(CleanData[Policy_Type],MATCH(D67,CleanData[Claim_Amount],0))</f>
        <v>Life</v>
      </c>
      <c r="D67" s="7">
        <f>LARGE(CleanData[Claim_Amount],5)</f>
        <v>4518.0200000000004</v>
      </c>
    </row>
    <row r="68" spans="1:4" ht="15" customHeight="1" x14ac:dyDescent="0.35">
      <c r="A68">
        <v>6</v>
      </c>
      <c r="B68" t="str">
        <f>INDEX(CleanData[Policy_ID],MATCH(D68,CleanData[Claim_Amount],0))</f>
        <v>POL00125</v>
      </c>
      <c r="C68" t="str">
        <f>INDEX(CleanData[Policy_Type],MATCH(D68,CleanData[Claim_Amount],0))</f>
        <v>Life</v>
      </c>
      <c r="D68" s="7">
        <f>LARGE(CleanData[Claim_Amount],6)</f>
        <v>4358.3999999999996</v>
      </c>
    </row>
    <row r="69" spans="1:4" ht="15" customHeight="1" x14ac:dyDescent="0.35">
      <c r="A69">
        <v>7</v>
      </c>
      <c r="B69" t="str">
        <f>INDEX(CleanData[Policy_ID],MATCH(D69,CleanData[Claim_Amount],0))</f>
        <v>POL00257</v>
      </c>
      <c r="C69" t="str">
        <f>INDEX(CleanData[Policy_Type],MATCH(D69,CleanData[Claim_Amount],0))</f>
        <v>Property</v>
      </c>
      <c r="D69" s="7">
        <f>LARGE(CleanData[Claim_Amount],7)</f>
        <v>4345.62</v>
      </c>
    </row>
    <row r="70" spans="1:4" ht="15" customHeight="1" x14ac:dyDescent="0.35">
      <c r="A70">
        <v>8</v>
      </c>
      <c r="B70" t="str">
        <f>INDEX(CleanData[Policy_ID],MATCH(D70,CleanData[Claim_Amount],0))</f>
        <v>POL00083</v>
      </c>
      <c r="C70" t="str">
        <f>INDEX(CleanData[Policy_Type],MATCH(D70,CleanData[Claim_Amount],0))</f>
        <v>Life</v>
      </c>
      <c r="D70" s="7">
        <f>LARGE(CleanData[Claim_Amount],8)</f>
        <v>4200.25</v>
      </c>
    </row>
    <row r="71" spans="1:4" ht="15" customHeight="1" x14ac:dyDescent="0.35">
      <c r="A71">
        <v>9</v>
      </c>
      <c r="B71" t="str">
        <f>INDEX(CleanData[Policy_ID],MATCH(D71,CleanData[Claim_Amount],0))</f>
        <v>POL00098</v>
      </c>
      <c r="C71" t="str">
        <f>INDEX(CleanData[Policy_Type],MATCH(D71,CleanData[Claim_Amount],0))</f>
        <v>Life</v>
      </c>
      <c r="D71" s="7">
        <f>LARGE(CleanData[Claim_Amount],9)</f>
        <v>4200.03</v>
      </c>
    </row>
    <row r="72" spans="1:4" ht="15" customHeight="1" x14ac:dyDescent="0.35">
      <c r="A72">
        <v>10</v>
      </c>
      <c r="B72" t="str">
        <f>INDEX(CleanData[Policy_ID],MATCH(D72,CleanData[Claim_Amount],0))</f>
        <v>POL00264</v>
      </c>
      <c r="C72" t="str">
        <f>INDEX(CleanData[Policy_Type],MATCH(D72,CleanData[Claim_Amount],0))</f>
        <v>Property</v>
      </c>
      <c r="D72" s="7">
        <f>LARGE(CleanData[Claim_Amount],10)</f>
        <v>4108.95</v>
      </c>
    </row>
  </sheetData>
  <mergeCells count="4">
    <mergeCell ref="A1:F1"/>
    <mergeCell ref="A24:F24"/>
    <mergeCell ref="A51:F51"/>
    <mergeCell ref="A55:F58"/>
  </mergeCells>
  <pageMargins left="0.3" right="0.3" top="0.4" bottom="0.4"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7A6C"/>
    <pageSetUpPr fitToPage="1"/>
  </sheetPr>
  <dimension ref="A1:H67"/>
  <sheetViews>
    <sheetView showGridLines="0" zoomScaleNormal="100" workbookViewId="0">
      <selection activeCell="I9" sqref="I9"/>
    </sheetView>
  </sheetViews>
  <sheetFormatPr defaultColWidth="8.6328125" defaultRowHeight="14.5" x14ac:dyDescent="0.35"/>
  <cols>
    <col min="1" max="1" width="18" customWidth="1"/>
    <col min="2" max="8" width="16" customWidth="1"/>
  </cols>
  <sheetData>
    <row r="1" spans="1:8" ht="18" customHeight="1" x14ac:dyDescent="0.4">
      <c r="A1" s="28" t="s">
        <v>409</v>
      </c>
      <c r="B1" s="28"/>
      <c r="C1" s="28"/>
      <c r="D1" s="28"/>
      <c r="E1" s="28"/>
      <c r="F1" s="28"/>
      <c r="G1" s="28"/>
      <c r="H1" s="28"/>
    </row>
    <row r="2" spans="1:8" ht="30" customHeight="1" x14ac:dyDescent="0.35">
      <c r="A2" s="29"/>
      <c r="B2" s="29"/>
      <c r="C2" s="29"/>
      <c r="D2" s="29"/>
      <c r="E2" s="29"/>
      <c r="F2" s="29"/>
      <c r="G2" s="29"/>
      <c r="H2" s="29"/>
    </row>
    <row r="3" spans="1:8" ht="15" customHeight="1" x14ac:dyDescent="0.35">
      <c r="A3" s="29"/>
      <c r="B3" s="29"/>
      <c r="C3" s="29"/>
      <c r="D3" s="29"/>
      <c r="E3" s="29"/>
      <c r="F3" s="29"/>
      <c r="G3" s="29"/>
      <c r="H3" s="29"/>
    </row>
    <row r="5" spans="1:8" ht="15.75" customHeight="1" x14ac:dyDescent="0.35">
      <c r="A5" s="1" t="s">
        <v>410</v>
      </c>
    </row>
    <row r="7" spans="1:8" ht="15" customHeight="1" x14ac:dyDescent="0.35">
      <c r="A7" s="2" t="s">
        <v>371</v>
      </c>
      <c r="B7" s="2" t="s">
        <v>411</v>
      </c>
      <c r="C7" s="2" t="s">
        <v>412</v>
      </c>
      <c r="D7" s="2" t="s">
        <v>413</v>
      </c>
      <c r="E7" s="2" t="s">
        <v>414</v>
      </c>
      <c r="F7" s="2" t="s">
        <v>415</v>
      </c>
    </row>
    <row r="8" spans="1:8" ht="15" customHeight="1" x14ac:dyDescent="0.35">
      <c r="A8" t="s">
        <v>19</v>
      </c>
      <c r="B8">
        <f>COUNTIF(CleanData[Policy_Type],A8)</f>
        <v>95</v>
      </c>
      <c r="C8" s="17">
        <f>SUMIF(CleanData[Policy_Type],A8,CleanData[Premium])</f>
        <v>32478.200000000019</v>
      </c>
      <c r="D8" s="17">
        <f>SUMIF(CleanData[Policy_Type],A8,CleanData[Claim_Amount])</f>
        <v>105193.91999999998</v>
      </c>
      <c r="E8" s="17">
        <f>AVERAGEIF(CleanData[Policy_Type],A8,CleanData[Premium])</f>
        <v>341.87578947368439</v>
      </c>
      <c r="F8" s="17">
        <f>AVERAGEIF(CleanData[Policy_Type],A8,CleanData[Claim_Amount])</f>
        <v>1107.3044210526314</v>
      </c>
    </row>
    <row r="9" spans="1:8" ht="15" customHeight="1" x14ac:dyDescent="0.35">
      <c r="A9" t="s">
        <v>12</v>
      </c>
      <c r="B9">
        <f>COUNTIF(CleanData[Policy_Type],A9)</f>
        <v>61</v>
      </c>
      <c r="C9" s="17">
        <f>SUMIF(CleanData[Policy_Type],A9,CleanData[Premium])</f>
        <v>17845.819999999992</v>
      </c>
      <c r="D9" s="17">
        <f>SUMIF(CleanData[Policy_Type],A9,CleanData[Claim_Amount])</f>
        <v>52689.799999999988</v>
      </c>
      <c r="E9" s="17">
        <f>AVERAGEIF(CleanData[Policy_Type],A9,CleanData[Premium])</f>
        <v>292.55442622950807</v>
      </c>
      <c r="F9" s="17">
        <f>AVERAGEIF(CleanData[Policy_Type],A9,CleanData[Claim_Amount])</f>
        <v>863.76721311475387</v>
      </c>
    </row>
    <row r="10" spans="1:8" ht="15" customHeight="1" x14ac:dyDescent="0.35">
      <c r="A10" t="s">
        <v>9</v>
      </c>
      <c r="B10">
        <f>COUNTIF(CleanData[Policy_Type],A10)</f>
        <v>56</v>
      </c>
      <c r="C10" s="17">
        <f>SUMIF(CleanData[Policy_Type],A10,CleanData[Premium])</f>
        <v>23128.94</v>
      </c>
      <c r="D10" s="17">
        <f>SUMIF(CleanData[Policy_Type],A10,CleanData[Claim_Amount])</f>
        <v>64461.5</v>
      </c>
      <c r="E10" s="17">
        <f>AVERAGEIF(CleanData[Policy_Type],A10,CleanData[Premium])</f>
        <v>413.01678571428567</v>
      </c>
      <c r="F10" s="17">
        <f>AVERAGEIF(CleanData[Policy_Type],A10,CleanData[Claim_Amount])</f>
        <v>1151.0982142857142</v>
      </c>
    </row>
    <row r="11" spans="1:8" ht="15" customHeight="1" x14ac:dyDescent="0.35">
      <c r="A11" t="s">
        <v>16</v>
      </c>
      <c r="B11">
        <f>COUNTIF(CleanData[Policy_Type],A11)</f>
        <v>46</v>
      </c>
      <c r="C11" s="17">
        <f>SUMIF(CleanData[Policy_Type],A11,CleanData[Premium])</f>
        <v>20403.419999999998</v>
      </c>
      <c r="D11" s="17">
        <f>SUMIF(CleanData[Policy_Type],A11,CleanData[Claim_Amount])</f>
        <v>69123.94</v>
      </c>
      <c r="E11" s="17">
        <f>AVERAGEIF(CleanData[Policy_Type],A11,CleanData[Premium])</f>
        <v>443.55260869565211</v>
      </c>
      <c r="F11" s="17">
        <f>AVERAGEIF(CleanData[Policy_Type],A11,CleanData[Claim_Amount])</f>
        <v>1502.6943478260871</v>
      </c>
    </row>
    <row r="12" spans="1:8" ht="15" customHeight="1" x14ac:dyDescent="0.35">
      <c r="A12" t="s">
        <v>40</v>
      </c>
      <c r="B12">
        <f>COUNTIF(CleanData[Policy_Type],A12)</f>
        <v>20</v>
      </c>
      <c r="C12" s="17">
        <f>SUMIF(CleanData[Policy_Type],A12,CleanData[Premium])</f>
        <v>2125.9700000000003</v>
      </c>
      <c r="D12" s="17">
        <f>SUMIF(CleanData[Policy_Type],A12,CleanData[Claim_Amount])</f>
        <v>8038.0300000000007</v>
      </c>
      <c r="E12" s="17">
        <f>AVERAGEIF(CleanData[Policy_Type],A12,CleanData[Premium])</f>
        <v>106.29850000000002</v>
      </c>
      <c r="F12" s="17">
        <f>AVERAGEIF(CleanData[Policy_Type],A12,CleanData[Claim_Amount])</f>
        <v>401.90150000000006</v>
      </c>
    </row>
    <row r="14" spans="1:8" ht="15.75" customHeight="1" x14ac:dyDescent="0.35">
      <c r="A14" s="1" t="s">
        <v>416</v>
      </c>
    </row>
    <row r="16" spans="1:8" ht="15" customHeight="1" x14ac:dyDescent="0.35">
      <c r="A16" s="2" t="s">
        <v>417</v>
      </c>
      <c r="B16" s="2" t="s">
        <v>418</v>
      </c>
      <c r="C16" s="2" t="s">
        <v>419</v>
      </c>
      <c r="D16" s="2" t="s">
        <v>420</v>
      </c>
    </row>
    <row r="17" spans="1:7" ht="15" customHeight="1" x14ac:dyDescent="0.35">
      <c r="A17" t="s">
        <v>10</v>
      </c>
      <c r="B17">
        <f>COUNTIF(CleanData[Claim_Status],A17)</f>
        <v>130</v>
      </c>
      <c r="C17" s="18">
        <f>B17/COUNT(CleanData[Premium])</f>
        <v>0.46762589928057552</v>
      </c>
      <c r="D17" s="17">
        <f>SUMIF(CleanData[Claim_Status],A17,CleanData[Claim_Amount])</f>
        <v>0</v>
      </c>
    </row>
    <row r="18" spans="1:7" ht="15" customHeight="1" x14ac:dyDescent="0.35">
      <c r="A18" t="s">
        <v>17</v>
      </c>
      <c r="B18">
        <f>COUNTIF(CleanData[Claim_Status],A18)</f>
        <v>62</v>
      </c>
      <c r="C18" s="18">
        <f>B18/COUNT(CleanData[Premium])</f>
        <v>0.22302158273381295</v>
      </c>
      <c r="D18" s="17">
        <f>SUMIF(CleanData[Claim_Status],A18,CleanData[Claim_Amount])</f>
        <v>128634.34999999995</v>
      </c>
    </row>
    <row r="19" spans="1:7" ht="15" customHeight="1" x14ac:dyDescent="0.35">
      <c r="A19" t="s">
        <v>13</v>
      </c>
      <c r="B19">
        <f>COUNTIF(CleanData[Claim_Status],A19)</f>
        <v>40</v>
      </c>
      <c r="C19" s="18">
        <f>B19/COUNT(CleanData[Premium])</f>
        <v>0.14388489208633093</v>
      </c>
      <c r="D19" s="17">
        <f>SUMIF(CleanData[Claim_Status],A19,CleanData[Claim_Amount])</f>
        <v>84573.57</v>
      </c>
    </row>
    <row r="20" spans="1:7" ht="15" customHeight="1" x14ac:dyDescent="0.35">
      <c r="A20" t="s">
        <v>30</v>
      </c>
      <c r="B20">
        <f>COUNTIF(CleanData[Claim_Status],A20)</f>
        <v>30</v>
      </c>
      <c r="C20" s="18">
        <f>B20/COUNT(CleanData[Premium])</f>
        <v>0.1079136690647482</v>
      </c>
      <c r="D20" s="17">
        <f>SUMIF(CleanData[Claim_Status],A20,CleanData[Claim_Amount])</f>
        <v>63860.05999999999</v>
      </c>
    </row>
    <row r="21" spans="1:7" ht="15" customHeight="1" x14ac:dyDescent="0.35">
      <c r="A21" t="s">
        <v>38</v>
      </c>
      <c r="B21">
        <f>COUNTIF(CleanData[Claim_Status],A21)</f>
        <v>16</v>
      </c>
      <c r="C21" s="18">
        <f>B21/COUNT(CleanData[Premium])</f>
        <v>5.7553956834532377E-2</v>
      </c>
      <c r="D21" s="17">
        <f>SUMIF(CleanData[Claim_Status],A21,CleanData[Claim_Amount])</f>
        <v>22439.210000000003</v>
      </c>
    </row>
    <row r="23" spans="1:7" ht="15.75" customHeight="1" x14ac:dyDescent="0.35">
      <c r="A23" s="1" t="s">
        <v>421</v>
      </c>
    </row>
    <row r="25" spans="1:7" ht="15" customHeight="1" x14ac:dyDescent="0.35">
      <c r="A25" s="2" t="s">
        <v>371</v>
      </c>
      <c r="B25" s="2" t="s">
        <v>10</v>
      </c>
      <c r="C25" s="2" t="s">
        <v>17</v>
      </c>
      <c r="D25" s="2" t="s">
        <v>13</v>
      </c>
      <c r="E25" s="2" t="s">
        <v>30</v>
      </c>
      <c r="F25" s="2" t="s">
        <v>38</v>
      </c>
      <c r="G25" s="2" t="s">
        <v>422</v>
      </c>
    </row>
    <row r="26" spans="1:7" ht="15" customHeight="1" x14ac:dyDescent="0.35">
      <c r="A26" t="s">
        <v>19</v>
      </c>
      <c r="B26">
        <f>COUNTIFS(CleanData[Policy_Type],$A26,CleanData[Claim_Status],B$25)</f>
        <v>41</v>
      </c>
      <c r="C26">
        <f>COUNTIFS(CleanData[Policy_Type],$A26,CleanData[Claim_Status],C$25)</f>
        <v>23</v>
      </c>
      <c r="D26">
        <f>COUNTIFS(CleanData[Policy_Type],$A26,CleanData[Claim_Status],D$25)</f>
        <v>14</v>
      </c>
      <c r="E26">
        <f>COUNTIFS(CleanData[Policy_Type],$A26,CleanData[Claim_Status],E$25)</f>
        <v>12</v>
      </c>
      <c r="F26">
        <f>COUNTIFS(CleanData[Policy_Type],$A26,CleanData[Claim_Status],F$25)</f>
        <v>5</v>
      </c>
      <c r="G26" s="13">
        <f>SUM(B26:F26)</f>
        <v>95</v>
      </c>
    </row>
    <row r="27" spans="1:7" ht="15" customHeight="1" x14ac:dyDescent="0.35">
      <c r="A27" t="s">
        <v>12</v>
      </c>
      <c r="B27">
        <f>COUNTIFS(CleanData[Policy_Type],$A27,CleanData[Claim_Status],B$25)</f>
        <v>28</v>
      </c>
      <c r="C27">
        <f>COUNTIFS(CleanData[Policy_Type],$A27,CleanData[Claim_Status],C$25)</f>
        <v>12</v>
      </c>
      <c r="D27">
        <f>COUNTIFS(CleanData[Policy_Type],$A27,CleanData[Claim_Status],D$25)</f>
        <v>14</v>
      </c>
      <c r="E27">
        <f>COUNTIFS(CleanData[Policy_Type],$A27,CleanData[Claim_Status],E$25)</f>
        <v>5</v>
      </c>
      <c r="F27">
        <f>COUNTIFS(CleanData[Policy_Type],$A27,CleanData[Claim_Status],F$25)</f>
        <v>2</v>
      </c>
      <c r="G27" s="13">
        <f>SUM(B27:F27)</f>
        <v>61</v>
      </c>
    </row>
    <row r="28" spans="1:7" ht="15" customHeight="1" x14ac:dyDescent="0.35">
      <c r="A28" t="s">
        <v>9</v>
      </c>
      <c r="B28">
        <f>COUNTIFS(CleanData[Policy_Type],$A28,CleanData[Claim_Status],B$25)</f>
        <v>31</v>
      </c>
      <c r="C28">
        <f>COUNTIFS(CleanData[Policy_Type],$A28,CleanData[Claim_Status],C$25)</f>
        <v>13</v>
      </c>
      <c r="D28">
        <f>COUNTIFS(CleanData[Policy_Type],$A28,CleanData[Claim_Status],D$25)</f>
        <v>4</v>
      </c>
      <c r="E28">
        <f>COUNTIFS(CleanData[Policy_Type],$A28,CleanData[Claim_Status],E$25)</f>
        <v>4</v>
      </c>
      <c r="F28">
        <f>COUNTIFS(CleanData[Policy_Type],$A28,CleanData[Claim_Status],F$25)</f>
        <v>4</v>
      </c>
      <c r="G28" s="13">
        <f>SUM(B28:F28)</f>
        <v>56</v>
      </c>
    </row>
    <row r="29" spans="1:7" ht="15" customHeight="1" x14ac:dyDescent="0.35">
      <c r="A29" t="s">
        <v>16</v>
      </c>
      <c r="B29">
        <f>COUNTIFS(CleanData[Policy_Type],$A29,CleanData[Claim_Status],B$25)</f>
        <v>21</v>
      </c>
      <c r="C29">
        <f>COUNTIFS(CleanData[Policy_Type],$A29,CleanData[Claim_Status],C$25)</f>
        <v>10</v>
      </c>
      <c r="D29">
        <f>COUNTIFS(CleanData[Policy_Type],$A29,CleanData[Claim_Status],D$25)</f>
        <v>7</v>
      </c>
      <c r="E29">
        <f>COUNTIFS(CleanData[Policy_Type],$A29,CleanData[Claim_Status],E$25)</f>
        <v>5</v>
      </c>
      <c r="F29">
        <f>COUNTIFS(CleanData[Policy_Type],$A29,CleanData[Claim_Status],F$25)</f>
        <v>3</v>
      </c>
      <c r="G29" s="13">
        <f>SUM(B29:F29)</f>
        <v>46</v>
      </c>
    </row>
    <row r="30" spans="1:7" ht="15" customHeight="1" x14ac:dyDescent="0.35">
      <c r="A30" t="s">
        <v>40</v>
      </c>
      <c r="B30">
        <f>COUNTIFS(CleanData[Policy_Type],$A30,CleanData[Claim_Status],B$25)</f>
        <v>9</v>
      </c>
      <c r="C30">
        <f>COUNTIFS(CleanData[Policy_Type],$A30,CleanData[Claim_Status],C$25)</f>
        <v>4</v>
      </c>
      <c r="D30">
        <f>COUNTIFS(CleanData[Policy_Type],$A30,CleanData[Claim_Status],D$25)</f>
        <v>1</v>
      </c>
      <c r="E30">
        <f>COUNTIFS(CleanData[Policy_Type],$A30,CleanData[Claim_Status],E$25)</f>
        <v>4</v>
      </c>
      <c r="F30">
        <f>COUNTIFS(CleanData[Policy_Type],$A30,CleanData[Claim_Status],F$25)</f>
        <v>2</v>
      </c>
      <c r="G30" s="13">
        <f>SUM(B30:F30)</f>
        <v>20</v>
      </c>
    </row>
    <row r="33" spans="1:3" ht="15.75" customHeight="1" x14ac:dyDescent="0.35">
      <c r="A33" s="1" t="s">
        <v>423</v>
      </c>
    </row>
    <row r="35" spans="1:3" ht="15" customHeight="1" x14ac:dyDescent="0.35">
      <c r="A35" s="2" t="s">
        <v>424</v>
      </c>
      <c r="B35" s="2" t="s">
        <v>411</v>
      </c>
      <c r="C35" s="2" t="s">
        <v>412</v>
      </c>
    </row>
    <row r="36" spans="1:3" ht="15" customHeight="1" x14ac:dyDescent="0.35">
      <c r="A36" t="s">
        <v>425</v>
      </c>
      <c r="B36">
        <f>COUNTIF(CleanData[Policy_Month],A36)</f>
        <v>18</v>
      </c>
      <c r="C36" s="17">
        <f>SUMIF(CleanData[Policy_Month],A36,CleanData[Premium])</f>
        <v>6295.46</v>
      </c>
    </row>
    <row r="37" spans="1:3" ht="15" customHeight="1" x14ac:dyDescent="0.35">
      <c r="A37" t="s">
        <v>426</v>
      </c>
      <c r="B37">
        <f>COUNTIF(CleanData[Policy_Month],A37)</f>
        <v>10</v>
      </c>
      <c r="C37" s="17">
        <f>SUMIF(CleanData[Policy_Month],A37,CleanData[Premium])</f>
        <v>4038.68</v>
      </c>
    </row>
    <row r="38" spans="1:3" ht="15" customHeight="1" x14ac:dyDescent="0.35">
      <c r="A38" t="s">
        <v>427</v>
      </c>
      <c r="B38">
        <f>COUNTIF(CleanData[Policy_Month],A38)</f>
        <v>22</v>
      </c>
      <c r="C38" s="17">
        <f>SUMIF(CleanData[Policy_Month],A38,CleanData[Premium])</f>
        <v>7459.369999999999</v>
      </c>
    </row>
    <row r="39" spans="1:3" ht="15" customHeight="1" x14ac:dyDescent="0.35">
      <c r="A39" t="s">
        <v>428</v>
      </c>
      <c r="B39">
        <f>COUNTIF(CleanData[Policy_Month],A39)</f>
        <v>7</v>
      </c>
      <c r="C39" s="17">
        <f>SUMIF(CleanData[Policy_Month],A39,CleanData[Premium])</f>
        <v>2547.19</v>
      </c>
    </row>
    <row r="40" spans="1:3" ht="15" customHeight="1" x14ac:dyDescent="0.35">
      <c r="A40" t="s">
        <v>429</v>
      </c>
      <c r="B40">
        <f>COUNTIF(CleanData[Policy_Month],A40)</f>
        <v>17</v>
      </c>
      <c r="C40" s="17">
        <f>SUMIF(CleanData[Policy_Month],A40,CleanData[Premium])</f>
        <v>5436.369999999999</v>
      </c>
    </row>
    <row r="41" spans="1:3" ht="15" customHeight="1" x14ac:dyDescent="0.35">
      <c r="A41" t="s">
        <v>430</v>
      </c>
      <c r="B41">
        <f>COUNTIF(CleanData[Policy_Month],A41)</f>
        <v>8</v>
      </c>
      <c r="C41" s="17">
        <f>SUMIF(CleanData[Policy_Month],A41,CleanData[Premium])</f>
        <v>2710.3199999999997</v>
      </c>
    </row>
    <row r="42" spans="1:3" ht="15" customHeight="1" x14ac:dyDescent="0.35">
      <c r="A42" t="s">
        <v>431</v>
      </c>
      <c r="B42">
        <f>COUNTIF(CleanData[Policy_Month],A42)</f>
        <v>20</v>
      </c>
      <c r="C42" s="17">
        <f>SUMIF(CleanData[Policy_Month],A42,CleanData[Premium])</f>
        <v>6868.0999999999985</v>
      </c>
    </row>
    <row r="43" spans="1:3" ht="15" customHeight="1" x14ac:dyDescent="0.35">
      <c r="A43" t="s">
        <v>432</v>
      </c>
      <c r="B43">
        <f>COUNTIF(CleanData[Policy_Month],A43)</f>
        <v>10</v>
      </c>
      <c r="C43" s="17">
        <f>SUMIF(CleanData[Policy_Month],A43,CleanData[Premium])</f>
        <v>3048.29</v>
      </c>
    </row>
    <row r="44" spans="1:3" ht="15" customHeight="1" x14ac:dyDescent="0.35">
      <c r="A44" t="s">
        <v>433</v>
      </c>
      <c r="B44">
        <f>COUNTIF(CleanData[Policy_Month],A44)</f>
        <v>17</v>
      </c>
      <c r="C44" s="17">
        <f>SUMIF(CleanData[Policy_Month],A44,CleanData[Premium])</f>
        <v>5638.4400000000005</v>
      </c>
    </row>
    <row r="45" spans="1:3" ht="15" customHeight="1" x14ac:dyDescent="0.35">
      <c r="A45" t="s">
        <v>434</v>
      </c>
      <c r="B45">
        <f>COUNTIF(CleanData[Policy_Month],A45)</f>
        <v>29</v>
      </c>
      <c r="C45" s="17">
        <f>SUMIF(CleanData[Policy_Month],A45,CleanData[Premium])</f>
        <v>9733.3499999999985</v>
      </c>
    </row>
    <row r="46" spans="1:3" ht="15" customHeight="1" x14ac:dyDescent="0.35">
      <c r="A46" t="s">
        <v>435</v>
      </c>
      <c r="B46">
        <f>COUNTIF(CleanData[Policy_Month],A46)</f>
        <v>14</v>
      </c>
      <c r="C46" s="17">
        <f>SUMIF(CleanData[Policy_Month],A46,CleanData[Premium])</f>
        <v>4724.88</v>
      </c>
    </row>
    <row r="47" spans="1:3" ht="15" customHeight="1" x14ac:dyDescent="0.35">
      <c r="A47" t="s">
        <v>436</v>
      </c>
      <c r="B47">
        <f>COUNTIF(CleanData[Policy_Month],A47)</f>
        <v>15</v>
      </c>
      <c r="C47" s="17">
        <f>SUMIF(CleanData[Policy_Month],A47,CleanData[Premium])</f>
        <v>5823.8</v>
      </c>
    </row>
    <row r="48" spans="1:3" ht="15" customHeight="1" x14ac:dyDescent="0.35">
      <c r="A48" t="s">
        <v>437</v>
      </c>
      <c r="B48">
        <f>COUNTIF(CleanData[Policy_Month],A48)</f>
        <v>21</v>
      </c>
      <c r="C48" s="17">
        <f>SUMIF(CleanData[Policy_Month],A48,CleanData[Premium])</f>
        <v>7703.23</v>
      </c>
    </row>
    <row r="49" spans="1:4" ht="15" customHeight="1" x14ac:dyDescent="0.35">
      <c r="A49" t="s">
        <v>438</v>
      </c>
      <c r="B49">
        <f>COUNTIF(CleanData[Policy_Month],A49)</f>
        <v>10</v>
      </c>
      <c r="C49" s="17">
        <f>SUMIF(CleanData[Policy_Month],A49,CleanData[Premium])</f>
        <v>3136.75</v>
      </c>
    </row>
    <row r="50" spans="1:4" ht="15" customHeight="1" x14ac:dyDescent="0.35">
      <c r="A50" t="s">
        <v>439</v>
      </c>
      <c r="B50">
        <f>COUNTIF(CleanData[Policy_Month],A50)</f>
        <v>11</v>
      </c>
      <c r="C50" s="17">
        <f>SUMIF(CleanData[Policy_Month],A50,CleanData[Premium])</f>
        <v>3400.2700000000004</v>
      </c>
    </row>
    <row r="51" spans="1:4" ht="15" customHeight="1" x14ac:dyDescent="0.35">
      <c r="A51" t="s">
        <v>440</v>
      </c>
      <c r="B51">
        <f>COUNTIF(CleanData[Policy_Month],A51)</f>
        <v>15</v>
      </c>
      <c r="C51" s="17">
        <f>SUMIF(CleanData[Policy_Month],A51,CleanData[Premium])</f>
        <v>5110.9199999999992</v>
      </c>
    </row>
    <row r="52" spans="1:4" ht="15" customHeight="1" x14ac:dyDescent="0.35">
      <c r="A52" t="s">
        <v>441</v>
      </c>
      <c r="B52">
        <f>COUNTIF(CleanData[Policy_Month],A52)</f>
        <v>10</v>
      </c>
      <c r="C52" s="17">
        <f>SUMIF(CleanData[Policy_Month],A52,CleanData[Premium])</f>
        <v>3752.1600000000003</v>
      </c>
    </row>
    <row r="53" spans="1:4" ht="15" customHeight="1" x14ac:dyDescent="0.35">
      <c r="A53" t="s">
        <v>442</v>
      </c>
      <c r="B53">
        <f>COUNTIF(CleanData[Policy_Month],A53)</f>
        <v>15</v>
      </c>
      <c r="C53" s="17">
        <f>SUMIF(CleanData[Policy_Month],A53,CleanData[Premium])</f>
        <v>5539.84</v>
      </c>
    </row>
    <row r="54" spans="1:4" ht="15" customHeight="1" x14ac:dyDescent="0.35">
      <c r="A54" t="s">
        <v>443</v>
      </c>
      <c r="B54">
        <f>COUNTIF(CleanData[Policy_Month],A54)</f>
        <v>9</v>
      </c>
      <c r="C54" s="17">
        <f>SUMIF(CleanData[Policy_Month],A54,CleanData[Premium])</f>
        <v>3014.9300000000003</v>
      </c>
    </row>
    <row r="56" spans="1:4" ht="15.75" customHeight="1" x14ac:dyDescent="0.35">
      <c r="A56" s="1" t="s">
        <v>444</v>
      </c>
    </row>
    <row r="58" spans="1:4" ht="15" customHeight="1" x14ac:dyDescent="0.35">
      <c r="A58" s="2" t="s">
        <v>445</v>
      </c>
      <c r="B58" s="2" t="s">
        <v>418</v>
      </c>
      <c r="C58" s="2" t="s">
        <v>414</v>
      </c>
      <c r="D58" s="2" t="s">
        <v>415</v>
      </c>
    </row>
    <row r="59" spans="1:4" ht="15" customHeight="1" x14ac:dyDescent="0.35">
      <c r="A59" t="s">
        <v>446</v>
      </c>
      <c r="B59">
        <f>COUNTIF(CleanData[Age_Group],A59)</f>
        <v>37</v>
      </c>
      <c r="C59" s="17">
        <f>AVERAGEIF(CleanData[Age_Group],A59,CleanData[Premium])</f>
        <v>345.79054054054052</v>
      </c>
      <c r="D59" s="17">
        <f>AVERAGEIF(CleanData[Age_Group],A59,CleanData[Claim_Amount])</f>
        <v>817.67783783783784</v>
      </c>
    </row>
    <row r="60" spans="1:4" ht="15" customHeight="1" x14ac:dyDescent="0.35">
      <c r="A60" t="s">
        <v>447</v>
      </c>
      <c r="B60">
        <f>COUNTIF(CleanData[Age_Group],A60)</f>
        <v>77</v>
      </c>
      <c r="C60" s="17">
        <f>AVERAGEIF(CleanData[Age_Group],A60,CleanData[Premium])</f>
        <v>346.67662337662347</v>
      </c>
      <c r="D60" s="17">
        <f>AVERAGEIF(CleanData[Age_Group],A60,CleanData[Claim_Amount])</f>
        <v>1120.9885714285713</v>
      </c>
    </row>
    <row r="61" spans="1:4" ht="15" customHeight="1" x14ac:dyDescent="0.35">
      <c r="A61" t="s">
        <v>448</v>
      </c>
      <c r="B61">
        <f>COUNTIF(CleanData[Age_Group],A61)</f>
        <v>94</v>
      </c>
      <c r="C61" s="17">
        <f>AVERAGEIF(CleanData[Age_Group],A61,CleanData[Premium])</f>
        <v>334.78202127659574</v>
      </c>
      <c r="D61" s="17">
        <f>AVERAGEIF(CleanData[Age_Group],A61,CleanData[Claim_Amount])</f>
        <v>981.33914893617032</v>
      </c>
    </row>
    <row r="62" spans="1:4" ht="15" customHeight="1" x14ac:dyDescent="0.35">
      <c r="A62" t="s">
        <v>449</v>
      </c>
      <c r="B62">
        <f>COUNTIF(CleanData[Age_Group],A62)</f>
        <v>70</v>
      </c>
      <c r="C62" s="17">
        <f>AVERAGEIF(CleanData[Age_Group],A62,CleanData[Premium])</f>
        <v>357.49271428571438</v>
      </c>
      <c r="D62" s="17">
        <f>AVERAGEIF(CleanData[Age_Group],A62,CleanData[Claim_Amount])</f>
        <v>1295.5872857142856</v>
      </c>
    </row>
    <row r="65" spans="1:8" ht="15" customHeight="1" x14ac:dyDescent="0.35">
      <c r="A65" s="30"/>
      <c r="B65" s="30"/>
      <c r="C65" s="30"/>
      <c r="D65" s="30"/>
      <c r="E65" s="30"/>
      <c r="F65" s="30"/>
      <c r="G65" s="30"/>
      <c r="H65" s="30"/>
    </row>
    <row r="66" spans="1:8" ht="15" customHeight="1" x14ac:dyDescent="0.35">
      <c r="A66" s="30"/>
      <c r="B66" s="30"/>
      <c r="C66" s="30"/>
      <c r="D66" s="30"/>
      <c r="E66" s="30"/>
      <c r="F66" s="30"/>
      <c r="G66" s="30"/>
      <c r="H66" s="30"/>
    </row>
    <row r="67" spans="1:8" ht="15" customHeight="1" x14ac:dyDescent="0.35">
      <c r="A67" s="30"/>
      <c r="B67" s="30"/>
      <c r="C67" s="30"/>
      <c r="D67" s="30"/>
      <c r="E67" s="30"/>
      <c r="F67" s="30"/>
      <c r="G67" s="30"/>
      <c r="H67" s="30"/>
    </row>
  </sheetData>
  <mergeCells count="3">
    <mergeCell ref="A1:H1"/>
    <mergeCell ref="A2:H3"/>
    <mergeCell ref="A65:H67"/>
  </mergeCells>
  <pageMargins left="0.3" right="0.3" top="0.4" bottom="0.4"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8F00"/>
    <pageSetUpPr fitToPage="1"/>
  </sheetPr>
  <dimension ref="A1:N29"/>
  <sheetViews>
    <sheetView showGridLines="0" topLeftCell="A21" zoomScale="85" zoomScaleNormal="85" workbookViewId="0">
      <selection sqref="A1:N1"/>
    </sheetView>
  </sheetViews>
  <sheetFormatPr defaultColWidth="8.6328125" defaultRowHeight="14.5" x14ac:dyDescent="0.35"/>
  <cols>
    <col min="1" max="14" width="13" customWidth="1"/>
  </cols>
  <sheetData>
    <row r="1" spans="1:14" ht="27.75" customHeight="1" x14ac:dyDescent="0.5">
      <c r="A1" s="37" t="s">
        <v>450</v>
      </c>
      <c r="B1" s="37"/>
      <c r="C1" s="37"/>
      <c r="D1" s="37"/>
      <c r="E1" s="37"/>
      <c r="F1" s="37"/>
      <c r="G1" s="37"/>
      <c r="H1" s="37"/>
      <c r="I1" s="37"/>
      <c r="J1" s="37"/>
      <c r="K1" s="37"/>
      <c r="L1" s="37"/>
      <c r="M1" s="37"/>
      <c r="N1" s="37"/>
    </row>
    <row r="3" spans="1:14" ht="18" customHeight="1" x14ac:dyDescent="0.35">
      <c r="A3" s="38" t="s">
        <v>451</v>
      </c>
      <c r="B3" s="38"/>
      <c r="C3" s="38"/>
      <c r="D3" s="38"/>
      <c r="E3" s="38"/>
      <c r="F3" s="38"/>
      <c r="G3" s="38"/>
      <c r="H3" s="38"/>
      <c r="I3" s="38"/>
      <c r="J3" s="38"/>
      <c r="K3" s="38"/>
      <c r="L3" s="38"/>
      <c r="M3" s="38"/>
      <c r="N3" s="38"/>
    </row>
    <row r="4" spans="1:14" ht="19.5" customHeight="1" x14ac:dyDescent="0.35">
      <c r="A4" s="19" t="s">
        <v>452</v>
      </c>
      <c r="B4" s="20" t="s">
        <v>453</v>
      </c>
      <c r="D4" s="19" t="s">
        <v>454</v>
      </c>
      <c r="E4" s="20" t="s">
        <v>453</v>
      </c>
      <c r="G4" s="19" t="s">
        <v>455</v>
      </c>
      <c r="H4" s="20" t="s">
        <v>453</v>
      </c>
    </row>
    <row r="6" spans="1:14" ht="15" customHeight="1" x14ac:dyDescent="0.35">
      <c r="A6" s="39" t="s">
        <v>456</v>
      </c>
      <c r="B6" s="39"/>
      <c r="C6" s="39"/>
      <c r="D6" s="39"/>
      <c r="E6" s="39"/>
      <c r="F6" s="39"/>
      <c r="G6" s="39"/>
      <c r="H6" s="39"/>
      <c r="I6" s="39"/>
      <c r="J6" s="39"/>
      <c r="K6" s="39"/>
      <c r="L6" s="39"/>
      <c r="M6" s="39"/>
      <c r="N6" s="39"/>
    </row>
    <row r="7" spans="1:14" ht="19.5" customHeight="1" x14ac:dyDescent="0.35">
      <c r="A7" s="40" t="s">
        <v>457</v>
      </c>
      <c r="B7" s="40"/>
      <c r="D7" s="41" t="s">
        <v>458</v>
      </c>
      <c r="E7" s="41"/>
      <c r="G7" s="42" t="s">
        <v>459</v>
      </c>
      <c r="H7" s="42"/>
      <c r="J7" s="43" t="s">
        <v>460</v>
      </c>
      <c r="K7" s="43"/>
    </row>
    <row r="8" spans="1:14" ht="21.75" customHeight="1" x14ac:dyDescent="0.35">
      <c r="A8" s="44">
        <f>SUMIFS(CleanData[Premium],CleanData[Policy_Type],IF($B$4="All","*",$B$4),CleanData[Claim_Status],IF($E$4="All","*",$E$4),CleanData[Age_Group],IF($H$4="All","*",$H$4))</f>
        <v>95982.350000000049</v>
      </c>
      <c r="B8" s="44"/>
      <c r="D8" s="44">
        <f>SUMIFS(CleanData[Claim_Amount],CleanData[Policy_Type],IF($B$4="All","*",$B$4),CleanData[Claim_Status],IF($E$4="All","*",$E$4),CleanData[Age_Group],IF($H$4="All","*",$H$4))</f>
        <v>299507.19</v>
      </c>
      <c r="E8" s="44"/>
      <c r="G8" s="45">
        <f>COUNTIFS(CleanData[Policy_Type],IF($B$4="All","*",$B$4),CleanData[Claim_Status],IF($E$4="All","*",$E$4),CleanData[Age_Group],IF($H$4="All","*",$H$4))</f>
        <v>278</v>
      </c>
      <c r="H8" s="45"/>
      <c r="J8" s="46">
        <f>IFERROR(COUNTIFS(CleanData[Policy_Type],IF($B$4="All","*",$B$4),CleanData[Claim_Status],"Approved",CleanData[Age_Group],IF($H$4="All","*",$H$4))/COUNTIFS(CleanData[Policy_Type],IF($B$4="All","*",$B$4),CleanData[Claim_Status],IF($E$4="All","*",$E$4),CleanData[Age_Group],IF($H$4="All","*",$H$4)),0)</f>
        <v>0.22302158273381295</v>
      </c>
      <c r="K8" s="46"/>
    </row>
    <row r="9" spans="1:14" ht="15" customHeight="1" x14ac:dyDescent="0.35">
      <c r="A9" s="44"/>
      <c r="B9" s="44"/>
      <c r="D9" s="44"/>
      <c r="E9" s="44"/>
      <c r="G9" s="45"/>
      <c r="H9" s="45"/>
      <c r="J9" s="46"/>
      <c r="K9" s="46"/>
    </row>
    <row r="12" spans="1:14" ht="15" customHeight="1" x14ac:dyDescent="0.35">
      <c r="A12" s="47" t="s">
        <v>461</v>
      </c>
      <c r="B12" s="47"/>
      <c r="C12" s="47"/>
      <c r="D12" s="47"/>
      <c r="E12" s="47"/>
      <c r="F12" s="47"/>
      <c r="G12" s="47"/>
      <c r="H12" s="47"/>
      <c r="I12" s="47"/>
      <c r="J12" s="47"/>
      <c r="K12" s="47"/>
      <c r="L12" s="47"/>
      <c r="M12" s="47"/>
      <c r="N12" s="47"/>
    </row>
    <row r="14" spans="1:14" ht="15" customHeight="1" x14ac:dyDescent="0.35">
      <c r="A14" s="21" t="s">
        <v>462</v>
      </c>
    </row>
    <row r="15" spans="1:14" ht="15" customHeight="1" x14ac:dyDescent="0.35">
      <c r="A15" s="22" t="s">
        <v>463</v>
      </c>
      <c r="B15" s="22" t="s">
        <v>418</v>
      </c>
      <c r="C15" s="22" t="s">
        <v>412</v>
      </c>
    </row>
    <row r="16" spans="1:14" ht="15" customHeight="1" x14ac:dyDescent="0.35">
      <c r="A16" s="23" t="s">
        <v>19</v>
      </c>
      <c r="B16">
        <f>COUNTIFS(CleanData[Policy_Type],A16,CleanData[Claim_Status],IF($E$4="All","*",$E$4),CleanData[Age_Group],IF($H$4="All","*",$H$4))</f>
        <v>95</v>
      </c>
      <c r="C16" s="17">
        <f>SUMIFS(CleanData[Premium],CleanData[Policy_Type],A16,CleanData[Claim_Status],IF($E$4="All","*",$E$4),CleanData[Age_Group],IF($H$4="All","*",$H$4))</f>
        <v>32478.200000000019</v>
      </c>
    </row>
    <row r="17" spans="1:3" ht="15" customHeight="1" x14ac:dyDescent="0.35">
      <c r="A17" s="23" t="s">
        <v>12</v>
      </c>
      <c r="B17">
        <f>COUNTIFS(CleanData[Policy_Type],A17,CleanData[Claim_Status],IF($E$4="All","*",$E$4),CleanData[Age_Group],IF($H$4="All","*",$H$4))</f>
        <v>61</v>
      </c>
      <c r="C17" s="17">
        <f>SUMIFS(CleanData[Premium],CleanData[Policy_Type],A17,CleanData[Claim_Status],IF($E$4="All","*",$E$4),CleanData[Age_Group],IF($H$4="All","*",$H$4))</f>
        <v>17845.819999999992</v>
      </c>
    </row>
    <row r="18" spans="1:3" ht="15" customHeight="1" x14ac:dyDescent="0.35">
      <c r="A18" s="23" t="s">
        <v>9</v>
      </c>
      <c r="B18">
        <f>COUNTIFS(CleanData[Policy_Type],A18,CleanData[Claim_Status],IF($E$4="All","*",$E$4),CleanData[Age_Group],IF($H$4="All","*",$H$4))</f>
        <v>56</v>
      </c>
      <c r="C18" s="17">
        <f>SUMIFS(CleanData[Premium],CleanData[Policy_Type],A18,CleanData[Claim_Status],IF($E$4="All","*",$E$4),CleanData[Age_Group],IF($H$4="All","*",$H$4))</f>
        <v>23128.94</v>
      </c>
    </row>
    <row r="19" spans="1:3" ht="15" customHeight="1" x14ac:dyDescent="0.35">
      <c r="A19" s="23" t="s">
        <v>16</v>
      </c>
      <c r="B19">
        <f>COUNTIFS(CleanData[Policy_Type],A19,CleanData[Claim_Status],IF($E$4="All","*",$E$4),CleanData[Age_Group],IF($H$4="All","*",$H$4))</f>
        <v>46</v>
      </c>
      <c r="C19" s="17">
        <f>SUMIFS(CleanData[Premium],CleanData[Policy_Type],A19,CleanData[Claim_Status],IF($E$4="All","*",$E$4),CleanData[Age_Group],IF($H$4="All","*",$H$4))</f>
        <v>20403.419999999998</v>
      </c>
    </row>
    <row r="20" spans="1:3" ht="15" customHeight="1" x14ac:dyDescent="0.35">
      <c r="A20" s="23" t="s">
        <v>40</v>
      </c>
      <c r="B20">
        <f>COUNTIFS(CleanData[Policy_Type],A20,CleanData[Claim_Status],IF($E$4="All","*",$E$4),CleanData[Age_Group],IF($H$4="All","*",$H$4))</f>
        <v>20</v>
      </c>
      <c r="C20" s="17">
        <f>SUMIFS(CleanData[Premium],CleanData[Policy_Type],A20,CleanData[Claim_Status],IF($E$4="All","*",$E$4),CleanData[Age_Group],IF($H$4="All","*",$H$4))</f>
        <v>2125.9700000000003</v>
      </c>
    </row>
    <row r="23" spans="1:3" ht="15" customHeight="1" x14ac:dyDescent="0.35">
      <c r="A23" s="21" t="s">
        <v>464</v>
      </c>
    </row>
    <row r="24" spans="1:3" ht="15" customHeight="1" x14ac:dyDescent="0.35">
      <c r="A24" s="22" t="s">
        <v>463</v>
      </c>
      <c r="B24" s="22" t="s">
        <v>418</v>
      </c>
      <c r="C24" s="22" t="s">
        <v>465</v>
      </c>
    </row>
    <row r="25" spans="1:3" ht="15" customHeight="1" x14ac:dyDescent="0.35">
      <c r="A25" s="23" t="s">
        <v>10</v>
      </c>
      <c r="B25">
        <f>COUNTIFS(CleanData[Policy_Type],IF($B$4="All","*",$B$4),CleanData[Claim_Status],A25,CleanData[Age_Group],IF($H$4="All","*",$H$4))</f>
        <v>130</v>
      </c>
      <c r="C25" s="17">
        <f>SUMIFS(CleanData[Claim_Amount],CleanData[Policy_Type],IF($B$4="All","*",$B$4),CleanData[Claim_Status],A25,CleanData[Age_Group],IF($H$4="All","*",$H$4))</f>
        <v>0</v>
      </c>
    </row>
    <row r="26" spans="1:3" ht="15" customHeight="1" x14ac:dyDescent="0.35">
      <c r="A26" s="23" t="s">
        <v>17</v>
      </c>
      <c r="B26">
        <f>COUNTIFS(CleanData[Policy_Type],IF($B$4="All","*",$B$4),CleanData[Claim_Status],A26,CleanData[Age_Group],IF($H$4="All","*",$H$4))</f>
        <v>62</v>
      </c>
      <c r="C26" s="17">
        <f>SUMIFS(CleanData[Claim_Amount],CleanData[Policy_Type],IF($B$4="All","*",$B$4),CleanData[Claim_Status],A26,CleanData[Age_Group],IF($H$4="All","*",$H$4))</f>
        <v>128634.34999999995</v>
      </c>
    </row>
    <row r="27" spans="1:3" ht="15" customHeight="1" x14ac:dyDescent="0.35">
      <c r="A27" s="23" t="s">
        <v>13</v>
      </c>
      <c r="B27">
        <f>COUNTIFS(CleanData[Policy_Type],IF($B$4="All","*",$B$4),CleanData[Claim_Status],A27,CleanData[Age_Group],IF($H$4="All","*",$H$4))</f>
        <v>40</v>
      </c>
      <c r="C27" s="17">
        <f>SUMIFS(CleanData[Claim_Amount],CleanData[Policy_Type],IF($B$4="All","*",$B$4),CleanData[Claim_Status],A27,CleanData[Age_Group],IF($H$4="All","*",$H$4))</f>
        <v>84573.57</v>
      </c>
    </row>
    <row r="28" spans="1:3" ht="15" customHeight="1" x14ac:dyDescent="0.35">
      <c r="A28" s="23" t="s">
        <v>30</v>
      </c>
      <c r="B28">
        <f>COUNTIFS(CleanData[Policy_Type],IF($B$4="All","*",$B$4),CleanData[Claim_Status],A28,CleanData[Age_Group],IF($H$4="All","*",$H$4))</f>
        <v>30</v>
      </c>
      <c r="C28" s="17">
        <f>SUMIFS(CleanData[Claim_Amount],CleanData[Policy_Type],IF($B$4="All","*",$B$4),CleanData[Claim_Status],A28,CleanData[Age_Group],IF($H$4="All","*",$H$4))</f>
        <v>63860.05999999999</v>
      </c>
    </row>
    <row r="29" spans="1:3" ht="15" customHeight="1" x14ac:dyDescent="0.35">
      <c r="A29" s="23" t="s">
        <v>38</v>
      </c>
      <c r="B29">
        <f>COUNTIFS(CleanData[Policy_Type],IF($B$4="All","*",$B$4),CleanData[Claim_Status],A29,CleanData[Age_Group],IF($H$4="All","*",$H$4))</f>
        <v>16</v>
      </c>
      <c r="C29" s="17">
        <f>SUMIFS(CleanData[Claim_Amount],CleanData[Policy_Type],IF($B$4="All","*",$B$4),CleanData[Claim_Status],A29,CleanData[Age_Group],IF($H$4="All","*",$H$4))</f>
        <v>22439.210000000003</v>
      </c>
    </row>
  </sheetData>
  <mergeCells count="12">
    <mergeCell ref="A8:B9"/>
    <mergeCell ref="D8:E9"/>
    <mergeCell ref="G8:H9"/>
    <mergeCell ref="J8:K9"/>
    <mergeCell ref="A12:N12"/>
    <mergeCell ref="A1:N1"/>
    <mergeCell ref="A3:N3"/>
    <mergeCell ref="A6:N6"/>
    <mergeCell ref="A7:B7"/>
    <mergeCell ref="D7:E7"/>
    <mergeCell ref="G7:H7"/>
    <mergeCell ref="J7:K7"/>
  </mergeCells>
  <dataValidations count="3">
    <dataValidation type="list" sqref="B4" xr:uid="{00000000-0002-0000-0500-000000000000}">
      <formula1>"All,Health,Motor,Life,Property,Travel"</formula1>
      <formula2>0</formula2>
    </dataValidation>
    <dataValidation type="list" sqref="E4" xr:uid="{00000000-0002-0000-0500-000001000000}">
      <formula1>"All,No Claim,Approved,Pending,Rejected,Unknown"</formula1>
      <formula2>0</formula2>
    </dataValidation>
    <dataValidation type="list" sqref="H4" xr:uid="{00000000-0002-0000-0500-000002000000}">
      <formula1>"All,Young (18-24),Adult (25-40),Mid-Age (41-60),Senior (60+)"</formula1>
      <formula2>0</formula2>
    </dataValidation>
  </dataValidations>
  <pageMargins left="0.3" right="0.3" top="0.4" bottom="0.4" header="0.511811023622047" footer="0.511811023622047"/>
  <pageSetup paperSize="9" fitToHeight="0" orientation="landscape"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F8F00"/>
    <pageSetUpPr fitToPage="1"/>
  </sheetPr>
  <dimension ref="A1:N28"/>
  <sheetViews>
    <sheetView showGridLines="0" tabSelected="1" topLeftCell="A20" zoomScale="85" zoomScaleNormal="85" workbookViewId="0">
      <selection sqref="A1:N1"/>
    </sheetView>
  </sheetViews>
  <sheetFormatPr defaultColWidth="8.6328125" defaultRowHeight="14.5" x14ac:dyDescent="0.35"/>
  <cols>
    <col min="1" max="14" width="13" customWidth="1"/>
  </cols>
  <sheetData>
    <row r="1" spans="1:14" ht="27.75" customHeight="1" x14ac:dyDescent="0.5">
      <c r="A1" s="37" t="s">
        <v>466</v>
      </c>
      <c r="B1" s="37"/>
      <c r="C1" s="37"/>
      <c r="D1" s="37"/>
      <c r="E1" s="37"/>
      <c r="F1" s="37"/>
      <c r="G1" s="37"/>
      <c r="H1" s="37"/>
      <c r="I1" s="37"/>
      <c r="J1" s="37"/>
      <c r="K1" s="37"/>
      <c r="L1" s="37"/>
      <c r="M1" s="37"/>
      <c r="N1" s="37"/>
    </row>
    <row r="3" spans="1:14" ht="18" customHeight="1" x14ac:dyDescent="0.35">
      <c r="A3" s="38" t="s">
        <v>451</v>
      </c>
      <c r="B3" s="38"/>
      <c r="C3" s="38"/>
      <c r="D3" s="38"/>
      <c r="E3" s="38"/>
      <c r="F3" s="38"/>
      <c r="G3" s="38"/>
      <c r="H3" s="38"/>
      <c r="I3" s="38"/>
      <c r="J3" s="38"/>
      <c r="K3" s="38"/>
      <c r="L3" s="38"/>
      <c r="M3" s="38"/>
      <c r="N3" s="38"/>
    </row>
    <row r="4" spans="1:14" ht="19.5" customHeight="1" x14ac:dyDescent="0.35">
      <c r="A4" s="19" t="s">
        <v>452</v>
      </c>
      <c r="B4" s="20" t="s">
        <v>453</v>
      </c>
      <c r="D4" s="19" t="s">
        <v>454</v>
      </c>
      <c r="E4" s="20" t="s">
        <v>453</v>
      </c>
      <c r="G4" s="19" t="s">
        <v>455</v>
      </c>
      <c r="H4" s="20" t="s">
        <v>453</v>
      </c>
    </row>
    <row r="6" spans="1:14" ht="15" customHeight="1" x14ac:dyDescent="0.35">
      <c r="A6" s="39" t="s">
        <v>456</v>
      </c>
      <c r="B6" s="39"/>
      <c r="C6" s="39"/>
      <c r="D6" s="39"/>
      <c r="E6" s="39"/>
      <c r="F6" s="39"/>
      <c r="G6" s="39"/>
      <c r="H6" s="39"/>
      <c r="I6" s="39"/>
      <c r="J6" s="39"/>
      <c r="K6" s="39"/>
      <c r="L6" s="39"/>
      <c r="M6" s="39"/>
      <c r="N6" s="39"/>
    </row>
    <row r="7" spans="1:14" ht="19.5" customHeight="1" x14ac:dyDescent="0.35">
      <c r="A7" s="40" t="s">
        <v>467</v>
      </c>
      <c r="B7" s="40"/>
      <c r="D7" s="41" t="s">
        <v>468</v>
      </c>
      <c r="E7" s="41"/>
      <c r="G7" s="42" t="s">
        <v>469</v>
      </c>
      <c r="H7" s="42"/>
      <c r="J7" s="43" t="s">
        <v>470</v>
      </c>
      <c r="K7" s="43"/>
    </row>
    <row r="8" spans="1:14" ht="21.75" customHeight="1" x14ac:dyDescent="0.35">
      <c r="A8" s="48">
        <f>IFERROR(AVERAGEIFS(CleanData[Premium],CleanData[Policy_Type],IF($B$4="All","*",$B$4),CleanData[Claim_Status],IF($E$4="All","*",$E$4),CleanData[Age_Group],IF($H$4="All","*",$H$4)),0)</f>
        <v>345.26025179856134</v>
      </c>
      <c r="B8" s="48"/>
      <c r="D8" s="48">
        <f>IFERROR(AVERAGEIFS(CleanData[Claim_Amount],CleanData[Policy_Type],IF($B$4="All","*",$B$4),CleanData[Claim_Status],IF($E$4="All","*",$E$4),CleanData[Age_Group],IF($H$4="All","*",$H$4)),0)</f>
        <v>1077.3639928057555</v>
      </c>
      <c r="E8" s="48"/>
      <c r="G8" s="49">
        <f>IFERROR(AVERAGEIFS(CleanData[Customer_Age],CleanData[Policy_Type],IF($B$4="All","*",$B$4),CleanData[Claim_Status],IF($E$4="All","*",$E$4),CleanData[Age_Group],IF($H$4="All","*",$H$4)),0)</f>
        <v>46.622302158273378</v>
      </c>
      <c r="H8" s="49"/>
      <c r="J8" s="50">
        <f ca="1">IFERROR(AVERAGEIFS(CleanData[Days_Open],CleanData[Policy_Type],IF($B$4="All","*",$B$4),CleanData[Claim_Status],IF($E$4="All","*",$E$4),CleanData[Age_Group],IF($H$4="All","*",$H$4)),0)</f>
        <v>236.56115107913669</v>
      </c>
      <c r="K8" s="50"/>
    </row>
    <row r="9" spans="1:14" ht="15" customHeight="1" x14ac:dyDescent="0.35">
      <c r="A9" s="48"/>
      <c r="B9" s="48"/>
      <c r="D9" s="48"/>
      <c r="E9" s="48"/>
      <c r="G9" s="49"/>
      <c r="H9" s="49"/>
      <c r="J9" s="50"/>
      <c r="K9" s="50"/>
    </row>
    <row r="12" spans="1:14" ht="15" customHeight="1" x14ac:dyDescent="0.35">
      <c r="A12" s="47" t="s">
        <v>461</v>
      </c>
      <c r="B12" s="47"/>
      <c r="C12" s="47"/>
      <c r="D12" s="47"/>
      <c r="E12" s="47"/>
      <c r="F12" s="47"/>
      <c r="G12" s="47"/>
      <c r="H12" s="47"/>
      <c r="I12" s="47"/>
      <c r="J12" s="47"/>
      <c r="K12" s="47"/>
      <c r="L12" s="47"/>
      <c r="M12" s="47"/>
      <c r="N12" s="47"/>
    </row>
    <row r="14" spans="1:14" ht="15" customHeight="1" x14ac:dyDescent="0.35">
      <c r="A14" s="21" t="s">
        <v>471</v>
      </c>
    </row>
    <row r="15" spans="1:14" ht="15" customHeight="1" x14ac:dyDescent="0.35">
      <c r="A15" s="22" t="s">
        <v>463</v>
      </c>
      <c r="B15" s="22" t="s">
        <v>418</v>
      </c>
      <c r="C15" s="22" t="s">
        <v>414</v>
      </c>
    </row>
    <row r="16" spans="1:14" ht="15" customHeight="1" x14ac:dyDescent="0.35">
      <c r="A16" s="23" t="s">
        <v>446</v>
      </c>
      <c r="B16">
        <f>COUNTIFS(CleanData[Policy_Type],IF($B$4="All","*",$B$4),CleanData[Claim_Status],IF($E$4="All","*",$E$4),CleanData[Age_Group],A16)</f>
        <v>37</v>
      </c>
      <c r="C16" s="17">
        <f>AVERAGEIFS(CleanData[Premium],CleanData[Policy_Type],IF($B$4="All","*",$B$4),CleanData[Claim_Status],IF($E$4="All","*",$E$4),CleanData[Age_Group],A16)</f>
        <v>345.79054054054052</v>
      </c>
    </row>
    <row r="17" spans="1:3" ht="15" customHeight="1" x14ac:dyDescent="0.35">
      <c r="A17" s="23" t="s">
        <v>447</v>
      </c>
      <c r="B17">
        <f>COUNTIFS(CleanData[Policy_Type],IF($B$4="All","*",$B$4),CleanData[Claim_Status],IF($E$4="All","*",$E$4),CleanData[Age_Group],A17)</f>
        <v>77</v>
      </c>
      <c r="C17" s="17">
        <f>AVERAGEIFS(CleanData[Premium],CleanData[Policy_Type],IF($B$4="All","*",$B$4),CleanData[Claim_Status],IF($E$4="All","*",$E$4),CleanData[Age_Group],A17)</f>
        <v>346.67662337662347</v>
      </c>
    </row>
    <row r="18" spans="1:3" ht="15" customHeight="1" x14ac:dyDescent="0.35">
      <c r="A18" s="23" t="s">
        <v>448</v>
      </c>
      <c r="B18">
        <f>COUNTIFS(CleanData[Policy_Type],IF($B$4="All","*",$B$4),CleanData[Claim_Status],IF($E$4="All","*",$E$4),CleanData[Age_Group],A18)</f>
        <v>94</v>
      </c>
      <c r="C18" s="17">
        <f>AVERAGEIFS(CleanData[Premium],CleanData[Policy_Type],IF($B$4="All","*",$B$4),CleanData[Claim_Status],IF($E$4="All","*",$E$4),CleanData[Age_Group],A18)</f>
        <v>334.78202127659574</v>
      </c>
    </row>
    <row r="19" spans="1:3" ht="15" customHeight="1" x14ac:dyDescent="0.35">
      <c r="A19" s="23" t="s">
        <v>449</v>
      </c>
      <c r="B19">
        <f>COUNTIFS(CleanData[Policy_Type],IF($B$4="All","*",$B$4),CleanData[Claim_Status],IF($E$4="All","*",$E$4),CleanData[Age_Group],A19)</f>
        <v>70</v>
      </c>
      <c r="C19" s="17">
        <f>AVERAGEIFS(CleanData[Premium],CleanData[Policy_Type],IF($B$4="All","*",$B$4),CleanData[Claim_Status],IF($E$4="All","*",$E$4),CleanData[Age_Group],A19)</f>
        <v>357.49271428571438</v>
      </c>
    </row>
    <row r="22" spans="1:3" ht="15" customHeight="1" x14ac:dyDescent="0.35">
      <c r="A22" s="21" t="s">
        <v>462</v>
      </c>
    </row>
    <row r="23" spans="1:3" ht="15" customHeight="1" x14ac:dyDescent="0.35">
      <c r="A23" s="22" t="s">
        <v>463</v>
      </c>
      <c r="B23" s="22" t="s">
        <v>418</v>
      </c>
      <c r="C23" s="22" t="s">
        <v>415</v>
      </c>
    </row>
    <row r="24" spans="1:3" ht="15" customHeight="1" x14ac:dyDescent="0.35">
      <c r="A24" s="23" t="s">
        <v>19</v>
      </c>
      <c r="B24">
        <f>COUNTIFS(CleanData[Policy_Type],A24,CleanData[Claim_Status],IF($E$4="All","*",$E$4),CleanData[Age_Group],IF($H$4="All","*",$H$4))</f>
        <v>95</v>
      </c>
      <c r="C24" s="17">
        <f>AVERAGEIFS(CleanData[Claim_Amount],CleanData[Policy_Type],A24,CleanData[Claim_Status],IF($E$4="All","*",$E$4),CleanData[Age_Group],IF($H$4="All","*",$H$4))</f>
        <v>1107.3044210526314</v>
      </c>
    </row>
    <row r="25" spans="1:3" ht="15" customHeight="1" x14ac:dyDescent="0.35">
      <c r="A25" s="23" t="s">
        <v>12</v>
      </c>
      <c r="B25">
        <f>COUNTIFS(CleanData[Policy_Type],A25,CleanData[Claim_Status],IF($E$4="All","*",$E$4),CleanData[Age_Group],IF($H$4="All","*",$H$4))</f>
        <v>61</v>
      </c>
      <c r="C25" s="17">
        <f>AVERAGEIFS(CleanData[Claim_Amount],CleanData[Policy_Type],A25,CleanData[Claim_Status],IF($E$4="All","*",$E$4),CleanData[Age_Group],IF($H$4="All","*",$H$4))</f>
        <v>863.76721311475387</v>
      </c>
    </row>
    <row r="26" spans="1:3" ht="15" customHeight="1" x14ac:dyDescent="0.35">
      <c r="A26" s="23" t="s">
        <v>9</v>
      </c>
      <c r="B26">
        <f>COUNTIFS(CleanData[Policy_Type],A26,CleanData[Claim_Status],IF($E$4="All","*",$E$4),CleanData[Age_Group],IF($H$4="All","*",$H$4))</f>
        <v>56</v>
      </c>
      <c r="C26" s="17">
        <f>AVERAGEIFS(CleanData[Claim_Amount],CleanData[Policy_Type],A26,CleanData[Claim_Status],IF($E$4="All","*",$E$4),CleanData[Age_Group],IF($H$4="All","*",$H$4))</f>
        <v>1151.0982142857142</v>
      </c>
    </row>
    <row r="27" spans="1:3" ht="15" customHeight="1" x14ac:dyDescent="0.35">
      <c r="A27" s="23" t="s">
        <v>16</v>
      </c>
      <c r="B27">
        <f>COUNTIFS(CleanData[Policy_Type],A27,CleanData[Claim_Status],IF($E$4="All","*",$E$4),CleanData[Age_Group],IF($H$4="All","*",$H$4))</f>
        <v>46</v>
      </c>
      <c r="C27" s="17">
        <f>AVERAGEIFS(CleanData[Claim_Amount],CleanData[Policy_Type],A27,CleanData[Claim_Status],IF($E$4="All","*",$E$4),CleanData[Age_Group],IF($H$4="All","*",$H$4))</f>
        <v>1502.6943478260871</v>
      </c>
    </row>
    <row r="28" spans="1:3" ht="15" customHeight="1" x14ac:dyDescent="0.35">
      <c r="A28" s="23" t="s">
        <v>40</v>
      </c>
      <c r="B28">
        <f>COUNTIFS(CleanData[Policy_Type],A28,CleanData[Claim_Status],IF($E$4="All","*",$E$4),CleanData[Age_Group],IF($H$4="All","*",$H$4))</f>
        <v>20</v>
      </c>
      <c r="C28" s="17">
        <f>AVERAGEIFS(CleanData[Claim_Amount],CleanData[Policy_Type],A28,CleanData[Claim_Status],IF($E$4="All","*",$E$4),CleanData[Age_Group],IF($H$4="All","*",$H$4))</f>
        <v>401.90150000000006</v>
      </c>
    </row>
  </sheetData>
  <mergeCells count="12">
    <mergeCell ref="A8:B9"/>
    <mergeCell ref="D8:E9"/>
    <mergeCell ref="G8:H9"/>
    <mergeCell ref="J8:K9"/>
    <mergeCell ref="A12:N12"/>
    <mergeCell ref="A1:N1"/>
    <mergeCell ref="A3:N3"/>
    <mergeCell ref="A6:N6"/>
    <mergeCell ref="A7:B7"/>
    <mergeCell ref="D7:E7"/>
    <mergeCell ref="G7:H7"/>
    <mergeCell ref="J7:K7"/>
  </mergeCells>
  <dataValidations count="3">
    <dataValidation type="list" sqref="B4" xr:uid="{00000000-0002-0000-0600-000000000000}">
      <formula1>"All,Health,Motor,Life,Property,Travel"</formula1>
      <formula2>0</formula2>
    </dataValidation>
    <dataValidation type="list" sqref="E4" xr:uid="{00000000-0002-0000-0600-000001000000}">
      <formula1>"All,No Claim,Approved,Pending,Rejected,Unknown"</formula1>
      <formula2>0</formula2>
    </dataValidation>
    <dataValidation type="list" sqref="H4" xr:uid="{00000000-0002-0000-0600-000002000000}">
      <formula1>"All,Young (18-24),Adult (25-40),Mid-Age (41-60),Senior (60+)"</formula1>
      <formula2>0</formula2>
    </dataValidation>
  </dataValidations>
  <pageMargins left="0.3" right="0.3" top="0.4" bottom="0.4" header="0.511811023622047" footer="0.511811023622047"/>
  <pageSetup paperSize="9"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pageSetUpPr fitToPage="1"/>
  </sheetPr>
  <dimension ref="A1:B24"/>
  <sheetViews>
    <sheetView showGridLines="0" zoomScaleNormal="100" workbookViewId="0"/>
  </sheetViews>
  <sheetFormatPr defaultColWidth="8.6328125" defaultRowHeight="14.5" x14ac:dyDescent="0.35"/>
  <cols>
    <col min="1" max="1" width="4" customWidth="1"/>
    <col min="2" max="2" width="95" customWidth="1"/>
  </cols>
  <sheetData>
    <row r="1" spans="1:2" ht="25.5" customHeight="1" x14ac:dyDescent="0.5">
      <c r="A1" s="37" t="s">
        <v>472</v>
      </c>
      <c r="B1" s="37"/>
    </row>
    <row r="3" spans="1:2" ht="19.5" customHeight="1" x14ac:dyDescent="0.35">
      <c r="A3" s="51" t="s">
        <v>473</v>
      </c>
      <c r="B3" s="51"/>
    </row>
    <row r="5" spans="1:2" ht="43.5" customHeight="1" x14ac:dyDescent="0.35">
      <c r="A5" s="24" t="s">
        <v>474</v>
      </c>
      <c r="B5" s="25" t="s">
        <v>475</v>
      </c>
    </row>
    <row r="7" spans="1:2" ht="43.5" customHeight="1" x14ac:dyDescent="0.35">
      <c r="A7" s="24" t="s">
        <v>476</v>
      </c>
      <c r="B7" s="26" t="s">
        <v>477</v>
      </c>
    </row>
    <row r="9" spans="1:2" ht="43.5" customHeight="1" x14ac:dyDescent="0.35">
      <c r="A9" s="24" t="s">
        <v>478</v>
      </c>
      <c r="B9" s="25" t="s">
        <v>479</v>
      </c>
    </row>
    <row r="11" spans="1:2" ht="43.5" customHeight="1" x14ac:dyDescent="0.35">
      <c r="A11" s="24" t="s">
        <v>480</v>
      </c>
      <c r="B11" s="26" t="s">
        <v>481</v>
      </c>
    </row>
    <row r="13" spans="1:2" ht="43.5" customHeight="1" x14ac:dyDescent="0.35">
      <c r="A13" s="24" t="s">
        <v>482</v>
      </c>
      <c r="B13" s="25" t="s">
        <v>483</v>
      </c>
    </row>
    <row r="15" spans="1:2" ht="43.5" customHeight="1" x14ac:dyDescent="0.35">
      <c r="A15" s="24" t="s">
        <v>484</v>
      </c>
      <c r="B15" s="26" t="s">
        <v>485</v>
      </c>
    </row>
    <row r="18" spans="1:2" ht="19.5" customHeight="1" x14ac:dyDescent="0.35">
      <c r="A18" s="51" t="s">
        <v>486</v>
      </c>
      <c r="B18" s="51"/>
    </row>
    <row r="20" spans="1:2" ht="43.5" customHeight="1" x14ac:dyDescent="0.35">
      <c r="A20" s="24" t="s">
        <v>474</v>
      </c>
      <c r="B20" s="27" t="s">
        <v>487</v>
      </c>
    </row>
    <row r="22" spans="1:2" ht="43.5" customHeight="1" x14ac:dyDescent="0.35">
      <c r="A22" s="24" t="s">
        <v>476</v>
      </c>
      <c r="B22" s="27" t="s">
        <v>488</v>
      </c>
    </row>
    <row r="24" spans="1:2" ht="43.5" customHeight="1" x14ac:dyDescent="0.35">
      <c r="A24" s="24" t="s">
        <v>478</v>
      </c>
      <c r="B24" s="27" t="s">
        <v>489</v>
      </c>
    </row>
  </sheetData>
  <mergeCells count="3">
    <mergeCell ref="A1:B1"/>
    <mergeCell ref="A3:B3"/>
    <mergeCell ref="A18:B18"/>
  </mergeCells>
  <pageMargins left="0.3" right="0.3" top="0.4" bottom="0.4"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Raw_Data</vt:lpstr>
      <vt:lpstr>Clean_Data</vt:lpstr>
      <vt:lpstr>Cleaning_Log</vt:lpstr>
      <vt:lpstr>Analysis</vt:lpstr>
      <vt:lpstr>PivotTables</vt:lpstr>
      <vt:lpstr>Dashboard_Claims</vt:lpstr>
      <vt:lpstr>Dashboard_Profile</vt:lpstr>
      <vt:lpstr>Findings</vt:lpstr>
      <vt:lpstr>Analysis!Print_Area</vt:lpstr>
      <vt:lpstr>Clean_Data!Print_Area</vt:lpstr>
      <vt:lpstr>Cleaning_Log!Print_Area</vt:lpstr>
      <vt:lpstr>Dashboard_Claims!Print_Area</vt:lpstr>
      <vt:lpstr>Dashboard_Profile!Print_Area</vt:lpstr>
      <vt:lpstr>Findings!Print_Area</vt:lpstr>
      <vt:lpstr>PivotTables!Print_Area</vt:lpstr>
      <vt:lpstr>Raw_Data!Print_Area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s66257062@gmail.com</cp:lastModifiedBy>
  <cp:revision>5</cp:revision>
  <dcterms:created xsi:type="dcterms:W3CDTF">2026-08-25T11:36:09Z</dcterms:created>
  <dcterms:modified xsi:type="dcterms:W3CDTF">2026-09-01T09:14:16Z</dcterms:modified>
  <dc:language>en-US</dc:language>
</cp:coreProperties>
</file>